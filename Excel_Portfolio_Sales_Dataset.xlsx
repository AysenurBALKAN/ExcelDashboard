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veri analizi\"/>
    </mc:Choice>
  </mc:AlternateContent>
  <xr:revisionPtr revIDLastSave="0" documentId="13_ncr:1_{EE054BE5-7BD3-4E28-8028-8F9EE4FF468E}" xr6:coauthVersionLast="47" xr6:coauthVersionMax="47" xr10:uidLastSave="{00000000-0000-0000-0000-000000000000}"/>
  <bookViews>
    <workbookView xWindow="-108" yWindow="-108" windowWidth="23256" windowHeight="12456" activeTab="1" xr2:uid="{00000000-000D-0000-FFFF-FFFF00000000}"/>
  </bookViews>
  <sheets>
    <sheet name="Pivots" sheetId="4" r:id="rId1"/>
    <sheet name="Dashboard" sheetId="5" r:id="rId2"/>
    <sheet name="Orders" sheetId="1" r:id="rId3"/>
    <sheet name="Customers" sheetId="2" r:id="rId4"/>
    <sheet name="Products" sheetId="3" r:id="rId5"/>
  </sheets>
  <definedNames>
    <definedName name="OrderTable">Table1[]</definedName>
    <definedName name="Slicer_Country">#N/A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a="1"/>
  <c r="C2" i="1"/>
  <c r="C3" i="1" a="1"/>
  <c r="C3" i="1" s="1"/>
  <c r="C4" i="1" a="1"/>
  <c r="C4" i="1" s="1"/>
  <c r="C5" i="1" a="1"/>
  <c r="C5" i="1" s="1"/>
  <c r="C6" i="1" a="1"/>
  <c r="C6" i="1" s="1"/>
  <c r="C7" i="1" a="1"/>
  <c r="C7" i="1" s="1"/>
  <c r="C8" i="1" a="1"/>
  <c r="C8" i="1" s="1"/>
  <c r="C9" i="1" a="1"/>
  <c r="C9" i="1" s="1"/>
  <c r="C10" i="1" a="1"/>
  <c r="C10" i="1" s="1"/>
  <c r="C11" i="1" a="1"/>
  <c r="C11" i="1" s="1"/>
  <c r="G3" i="1"/>
  <c r="G4" i="1"/>
  <c r="G5" i="1"/>
  <c r="G6" i="1"/>
  <c r="G7" i="1"/>
  <c r="G8" i="1"/>
  <c r="G9" i="1"/>
  <c r="G10" i="1"/>
  <c r="G11" i="1"/>
  <c r="G2" i="1"/>
  <c r="E3" i="1"/>
  <c r="E4" i="1"/>
  <c r="E5" i="1"/>
  <c r="E6" i="1"/>
  <c r="E7" i="1"/>
  <c r="E8" i="1"/>
  <c r="E9" i="1"/>
  <c r="E10" i="1"/>
  <c r="E11" i="1"/>
  <c r="E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<sst xmlns="http://schemas.openxmlformats.org/spreadsheetml/2006/main" count="169" uniqueCount="78">
  <si>
    <t>OrderID</t>
  </si>
  <si>
    <t>OrderDate</t>
  </si>
  <si>
    <t>CustomerID</t>
  </si>
  <si>
    <t>ProductID</t>
  </si>
  <si>
    <t>Country</t>
  </si>
  <si>
    <t>SalesChannel</t>
  </si>
  <si>
    <t>Quantity</t>
  </si>
  <si>
    <t>UnitPrice</t>
  </si>
  <si>
    <t>Discount</t>
  </si>
  <si>
    <t>2023-01-05</t>
  </si>
  <si>
    <t>C001</t>
  </si>
  <si>
    <t>P001</t>
  </si>
  <si>
    <t>Turkey</t>
  </si>
  <si>
    <t>Online</t>
  </si>
  <si>
    <t>2023-01-18</t>
  </si>
  <si>
    <t>C002</t>
  </si>
  <si>
    <t>P002</t>
  </si>
  <si>
    <t>Germany</t>
  </si>
  <si>
    <t>Offline</t>
  </si>
  <si>
    <t>2023-02-02</t>
  </si>
  <si>
    <t>C003</t>
  </si>
  <si>
    <t>P003</t>
  </si>
  <si>
    <t>2023-03-11</t>
  </si>
  <si>
    <t>France</t>
  </si>
  <si>
    <t>2023-04-27</t>
  </si>
  <si>
    <t>C004</t>
  </si>
  <si>
    <t>P004</t>
  </si>
  <si>
    <t>Italy</t>
  </si>
  <si>
    <t>2024-01-09</t>
  </si>
  <si>
    <t>2024-02-14</t>
  </si>
  <si>
    <t>C005</t>
  </si>
  <si>
    <t>Netherlands</t>
  </si>
  <si>
    <t>2024-03-30</t>
  </si>
  <si>
    <t>C006</t>
  </si>
  <si>
    <t>2024-05-19</t>
  </si>
  <si>
    <t>Spain</t>
  </si>
  <si>
    <t>2024-06-25</t>
  </si>
  <si>
    <t>CustomerName</t>
  </si>
  <si>
    <t>CustomerSegment</t>
  </si>
  <si>
    <t>CustomerType</t>
  </si>
  <si>
    <t>City</t>
  </si>
  <si>
    <t>ABC Holding</t>
  </si>
  <si>
    <t>Corporate</t>
  </si>
  <si>
    <t>B2B</t>
  </si>
  <si>
    <t>Istanbul</t>
  </si>
  <si>
    <t>Muller GmbH</t>
  </si>
  <si>
    <t>Consumer</t>
  </si>
  <si>
    <t>B2C</t>
  </si>
  <si>
    <t>Berlin</t>
  </si>
  <si>
    <t>Ege Group</t>
  </si>
  <si>
    <t>Izmir</t>
  </si>
  <si>
    <t>Rossi Home</t>
  </si>
  <si>
    <t>Rome</t>
  </si>
  <si>
    <t>Delta BV</t>
  </si>
  <si>
    <t>Amsterdam</t>
  </si>
  <si>
    <t>Anadolu Store</t>
  </si>
  <si>
    <t>Ankara</t>
  </si>
  <si>
    <t>ProductName</t>
  </si>
  <si>
    <t>Category</t>
  </si>
  <si>
    <t>UnitCost</t>
  </si>
  <si>
    <t>Modern Carpet A</t>
  </si>
  <si>
    <t>Carpet</t>
  </si>
  <si>
    <t>Classic Carpet B</t>
  </si>
  <si>
    <t>Rug Premium X</t>
  </si>
  <si>
    <t>Rug</t>
  </si>
  <si>
    <t>Rug Standard Y</t>
  </si>
  <si>
    <t>Company</t>
  </si>
  <si>
    <t>Row Labels</t>
  </si>
  <si>
    <t>Grand Total</t>
  </si>
  <si>
    <t>Sum of Sales</t>
  </si>
  <si>
    <t>Sum of TotalDiscount</t>
  </si>
  <si>
    <t>Count of CustomerID</t>
  </si>
  <si>
    <t>Count of ProductID</t>
  </si>
  <si>
    <t>Count of OrderID</t>
  </si>
  <si>
    <t>Year</t>
  </si>
  <si>
    <t>2023</t>
  </si>
  <si>
    <t>2024</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</si>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</sst>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i/>
      <sz val="28"/>
      <color theme="3"/>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center"/>
    </xf>
    <xf numFmtId="0" fontId="2" fillId="0" borderId="0" xfId="0" applyFont="1" applyAlignment="1"/>
  </cellXfs>
  <cellStyles count="1">
    <cellStyle name="Normal" xfId="0" builtinId="0"/>
  </cellStyles>
  <dxfs count="3">
    <dxf>
      <numFmt numFmtId="2" formatCode="0.00"/>
    </dxf>
    <dxf>
      <numFmt numFmtId="19" formatCode="d/mm/yyyy"/>
    </dxf>
    <dxf>
      <numFmt numFmtId="19" formatCode="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[Excel_Portfolio_Sales_Dataset.xlsx]Pivots!PivotTable1</c:name>
    <c:fmtId val="0"/>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Pivots!$C$3</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32D-4B39-83C8-C6CFF458CD6F}"/>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32D-4B39-83C8-C6CFF458CD6F}"/>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32D-4B39-83C8-C6CFF458CD6F}"/>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32D-4B39-83C8-C6CFF458CD6F}"/>
              </c:ext>
            </c:extLst>
          </c:dPt>
          <c:dPt>
            <c:idx val="4"/>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32D-4B39-83C8-C6CFF458CD6F}"/>
              </c:ext>
            </c:extLst>
          </c:dPt>
          <c:dPt>
            <c:idx val="5"/>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32D-4B39-83C8-C6CFF458CD6F}"/>
              </c:ext>
            </c:extLst>
          </c:dPt>
          <c:dPt>
            <c:idx val="6"/>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332D-4B39-83C8-C6CFF458CD6F}"/>
              </c:ext>
            </c:extLst>
          </c:dPt>
          <c:dPt>
            <c:idx val="7"/>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332D-4B39-83C8-C6CFF458CD6F}"/>
              </c:ext>
            </c:extLst>
          </c:dPt>
          <c:dPt>
            <c:idx val="8"/>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332D-4B39-83C8-C6CFF458CD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Pivots!$A$4:$B$19</c:f>
              <c:multiLvlStrCache>
                <c:ptCount val="9"/>
                <c:lvl>
                  <c:pt idx="0">
                    <c:v>France</c:v>
                  </c:pt>
                  <c:pt idx="1">
                    <c:v>Turkey</c:v>
                  </c:pt>
                  <c:pt idx="2">
                    <c:v>Turkey</c:v>
                  </c:pt>
                  <c:pt idx="3">
                    <c:v>Netherlands</c:v>
                  </c:pt>
                  <c:pt idx="4">
                    <c:v>Turkey</c:v>
                  </c:pt>
                  <c:pt idx="5">
                    <c:v>Germany</c:v>
                  </c:pt>
                  <c:pt idx="6">
                    <c:v>Turkey</c:v>
                  </c:pt>
                  <c:pt idx="7">
                    <c:v>Italy</c:v>
                  </c:pt>
                  <c:pt idx="8">
                    <c:v>Spain</c:v>
                  </c:pt>
                </c:lvl>
                <c:lvl>
                  <c:pt idx="0">
                    <c:v>ABC Holding</c:v>
                  </c:pt>
                  <c:pt idx="2">
                    <c:v>Anadolu Store</c:v>
                  </c:pt>
                  <c:pt idx="3">
                    <c:v>Delta BV</c:v>
                  </c:pt>
                  <c:pt idx="4">
                    <c:v>Ege Group</c:v>
                  </c:pt>
                  <c:pt idx="5">
                    <c:v>Muller GmbH</c:v>
                  </c:pt>
                  <c:pt idx="7">
                    <c:v>Rossi Home</c:v>
                  </c:pt>
                </c:lvl>
              </c:multiLvlStrCache>
            </c:multiLvlStrRef>
          </c:cat>
          <c:val>
            <c:numRef>
              <c:f>Pivots!$C$4:$C$19</c:f>
              <c:numCache>
                <c:formatCode>General</c:formatCode>
                <c:ptCount val="9"/>
                <c:pt idx="0">
                  <c:v>840</c:v>
                </c:pt>
                <c:pt idx="1">
                  <c:v>600</c:v>
                </c:pt>
                <c:pt idx="2">
                  <c:v>1040</c:v>
                </c:pt>
                <c:pt idx="3">
                  <c:v>880</c:v>
                </c:pt>
                <c:pt idx="4">
                  <c:v>3440</c:v>
                </c:pt>
                <c:pt idx="5">
                  <c:v>950</c:v>
                </c:pt>
                <c:pt idx="6">
                  <c:v>1200</c:v>
                </c:pt>
                <c:pt idx="7">
                  <c:v>1350</c:v>
                </c:pt>
                <c:pt idx="8">
                  <c:v>960</c:v>
                </c:pt>
              </c:numCache>
            </c:numRef>
          </c:val>
          <c:extLst>
            <c:ext xmlns:c16="http://schemas.microsoft.com/office/drawing/2014/chart" uri="{C3380CC4-5D6E-409C-BE32-E72D297353CC}">
              <c16:uniqueId val="{00000000-7042-435D-A75E-0CB8DC569F3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[Excel_Portfolio_Sales_Dataset.xlsx]Pivots!PivotTable2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tr-TR"/>
              <a:t> Discount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Pivots!$I$4:$J$19</c:f>
              <c:multiLvlStrCache>
                <c:ptCount val="9"/>
                <c:lvl>
                  <c:pt idx="0">
                    <c:v>France</c:v>
                  </c:pt>
                  <c:pt idx="1">
                    <c:v>Turkey</c:v>
                  </c:pt>
                  <c:pt idx="2">
                    <c:v>Turkey</c:v>
                  </c:pt>
                  <c:pt idx="3">
                    <c:v>Netherlands</c:v>
                  </c:pt>
                  <c:pt idx="4">
                    <c:v>Turkey</c:v>
                  </c:pt>
                  <c:pt idx="5">
                    <c:v>Germany</c:v>
                  </c:pt>
                  <c:pt idx="6">
                    <c:v>Turkey</c:v>
                  </c:pt>
                  <c:pt idx="7">
                    <c:v>Italy</c:v>
                  </c:pt>
                  <c:pt idx="8">
                    <c:v>Spain</c:v>
                  </c:pt>
                </c:lvl>
                <c:lvl>
                  <c:pt idx="0">
                    <c:v>ABC Holding</c:v>
                  </c:pt>
                  <c:pt idx="2">
                    <c:v>Anadolu Store</c:v>
                  </c:pt>
                  <c:pt idx="3">
                    <c:v>Delta BV</c:v>
                  </c:pt>
                  <c:pt idx="4">
                    <c:v>Ege Group</c:v>
                  </c:pt>
                  <c:pt idx="5">
                    <c:v>Muller GmbH</c:v>
                  </c:pt>
                  <c:pt idx="7">
                    <c:v>Rossi Home</c:v>
                  </c:pt>
                </c:lvl>
              </c:multiLvlStrCache>
            </c:multiLvlStrRef>
          </c:cat>
          <c:val>
            <c:numRef>
              <c:f>Pivots!$K$4:$K$19</c:f>
              <c:numCache>
                <c:formatCode>General</c:formatCode>
                <c:ptCount val="9"/>
                <c:pt idx="0">
                  <c:v>0.35000000000000003</c:v>
                </c:pt>
                <c:pt idx="1">
                  <c:v>0.25</c:v>
                </c:pt>
                <c:pt idx="2">
                  <c:v>0.4</c:v>
                </c:pt>
                <c:pt idx="3">
                  <c:v>0</c:v>
                </c:pt>
                <c:pt idx="4">
                  <c:v>1.6</c:v>
                </c:pt>
                <c:pt idx="5">
                  <c:v>0</c:v>
                </c:pt>
                <c:pt idx="6">
                  <c:v>1.2000000000000002</c:v>
                </c:pt>
                <c:pt idx="7">
                  <c:v>0</c:v>
                </c:pt>
                <c:pt idx="8">
                  <c:v>0</c:v>
                </c:pt>
              </c:numCache>
            </c:numRef>
          </c:val>
          <c:extLst>
            <c:ext xmlns:c16="http://schemas.microsoft.com/office/drawing/2014/chart" uri="{C3380CC4-5D6E-409C-BE32-E72D297353CC}">
              <c16:uniqueId val="{00000000-EC44-434F-8409-9470506ABDD9}"/>
            </c:ext>
          </c:extLst>
        </c:ser>
        <c:dLbls>
          <c:dLblPos val="inEnd"/>
          <c:showLegendKey val="0"/>
          <c:showVal val="1"/>
          <c:showCatName val="0"/>
          <c:showSerName val="0"/>
          <c:showPercent val="0"/>
          <c:showBubbleSize val="0"/>
        </c:dLbls>
        <c:gapWidth val="65"/>
        <c:axId val="1171075535"/>
        <c:axId val="1171088015"/>
      </c:barChart>
      <c:catAx>
        <c:axId val="11710755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1088015"/>
        <c:crosses val="autoZero"/>
        <c:auto val="1"/>
        <c:lblAlgn val="ctr"/>
        <c:lblOffset val="100"/>
        <c:noMultiLvlLbl val="0"/>
      </c:catAx>
      <c:valAx>
        <c:axId val="1171088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710755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[Excel_Portfolio_Sales_Dataset.xlsx]Pivots!PivotTable3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tr-TR"/>
              <a:t> Customers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Pivots!$N$3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Pivots!$M$4:$M$10</c:f>
              <c:strCache>
                <c:ptCount val="6"/>
                <c:pt idx="0">
                  <c:v>ABC Holding</c:v>
                </c:pt>
                <c:pt idx="1">
                  <c:v>Anadolu Store</c:v>
                </c:pt>
                <c:pt idx="2">
                  <c:v>Delta BV</c:v>
                </c:pt>
                <c:pt idx="3">
                  <c:v>Ege Group</c:v>
                </c:pt>
                <c:pt idx="4">
                  <c:v>Muller GmbH</c:v>
                </c:pt>
                <c:pt idx="5">
                  <c:v>Rossi Home</c:v>
                </c:pt>
              </c:strCache>
            </c:strRef>
          </c:cat>
          <c:val>
            <c:numRef>
              <c:f>Pivots!$N$4:$N$10</c:f>
              <c:numCache>
                <c:formatCode>General</c:formatCode>
                <c:ptCount val="6"/>
                <c:pt idx="0">
                  <c:v>2</c:v>
                </c:pt>
                <c:pt idx="1">
                  <c:v>1</c:v>
                </c:pt>
                <c:pt idx="2">
                  <c:v>1</c:v>
                </c:pt>
                <c:pt idx="3">
                  <c:v>2</c:v>
                </c:pt>
                <c:pt idx="4">
                  <c:v>2</c:v>
                </c:pt>
                <c:pt idx="5">
                  <c:v>2</c:v>
                </c:pt>
              </c:numCache>
            </c:numRef>
          </c:val>
          <c:extLst>
            <c:ext xmlns:c16="http://schemas.microsoft.com/office/drawing/2014/chart" uri="{C3380CC4-5D6E-409C-BE32-E72D297353CC}">
              <c16:uniqueId val="{00000000-68FD-454A-AD8E-997C78AE7036}"/>
            </c:ext>
          </c:extLst>
        </c:ser>
        <c:dLbls>
          <c:dLblPos val="outEnd"/>
          <c:showLegendKey val="0"/>
          <c:showVal val="1"/>
          <c:showCatName val="0"/>
          <c:showSerName val="0"/>
          <c:showPercent val="0"/>
          <c:showBubbleSize val="0"/>
        </c:dLbls>
        <c:gapWidth val="65"/>
        <c:axId val="907401712"/>
        <c:axId val="907402192"/>
      </c:barChart>
      <c:catAx>
        <c:axId val="90740171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7402192"/>
        <c:crosses val="autoZero"/>
        <c:auto val="1"/>
        <c:lblAlgn val="ctr"/>
        <c:lblOffset val="100"/>
        <c:noMultiLvlLbl val="0"/>
      </c:catAx>
      <c:valAx>
        <c:axId val="9074021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0740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[Excel_Portfolio_Sales_Dataset.xlsx]Pivots!PivotTable7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tr-TR"/>
              <a:t> Sales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Pivots!$H$43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Pivots!$G$44:$G$46</c:f>
              <c:strCache>
                <c:ptCount val="2"/>
                <c:pt idx="0">
                  <c:v>2023</c:v>
                </c:pt>
                <c:pt idx="1">
                  <c:v>2024</c:v>
                </c:pt>
              </c:strCache>
            </c:strRef>
          </c:cat>
          <c:val>
            <c:numRef>
              <c:f>Pivots!$H$44:$H$46</c:f>
              <c:numCache>
                <c:formatCode>General</c:formatCode>
                <c:ptCount val="2"/>
                <c:pt idx="0">
                  <c:v>23630</c:v>
                </c:pt>
                <c:pt idx="1">
                  <c:v>29050</c:v>
                </c:pt>
              </c:numCache>
            </c:numRef>
          </c:val>
          <c:smooth val="0"/>
          <c:extLst>
            <c:ext xmlns:c16="http://schemas.microsoft.com/office/drawing/2014/chart" uri="{C3380CC4-5D6E-409C-BE32-E72D297353CC}">
              <c16:uniqueId val="{00000000-1841-4DD5-B5F6-50487BD9C929}"/>
            </c:ext>
          </c:extLst>
        </c:ser>
        <c:dLbls>
          <c:dLblPos val="ctr"/>
          <c:showLegendKey val="0"/>
          <c:showVal val="1"/>
          <c:showCatName val="0"/>
          <c:showSerName val="0"/>
          <c:showPercent val="0"/>
          <c:showBubbleSize val="0"/>
        </c:dLbls>
        <c:marker val="1"/>
        <c:smooth val="0"/>
        <c:axId val="2062915776"/>
        <c:axId val="2062908096"/>
      </c:lineChart>
      <c:catAx>
        <c:axId val="2062915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2908096"/>
        <c:crosses val="autoZero"/>
        <c:auto val="1"/>
        <c:lblAlgn val="ctr"/>
        <c:lblOffset val="100"/>
        <c:noMultiLvlLbl val="0"/>
      </c:catAx>
      <c:valAx>
        <c:axId val="20629080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62915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[Excel_Portfolio_Sales_Dataset.xlsx]Pivots!PivotTable1</c:name>
    <c:fmtId val="1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Pivots!$C$3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133-42AC-9190-0B92FE6096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133-42AC-9190-0B92FE6096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133-42AC-9190-0B92FE6096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133-42AC-9190-0B92FE6096F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133-42AC-9190-0B92FE6096F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133-42AC-9190-0B92FE6096F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5133-42AC-9190-0B92FE6096F2}"/>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5133-42AC-9190-0B92FE6096F2}"/>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5133-42AC-9190-0B92FE6096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Pivots!$A$4:$B$19</c:f>
              <c:multiLvlStrCache>
                <c:ptCount val="9"/>
                <c:lvl>
                  <c:pt idx="0">
                    <c:v>France</c:v>
                  </c:pt>
                  <c:pt idx="1">
                    <c:v>Turkey</c:v>
                  </c:pt>
                  <c:pt idx="2">
                    <c:v>Turkey</c:v>
                  </c:pt>
                  <c:pt idx="3">
                    <c:v>Netherlands</c:v>
                  </c:pt>
                  <c:pt idx="4">
                    <c:v>Turkey</c:v>
                  </c:pt>
                  <c:pt idx="5">
                    <c:v>Germany</c:v>
                  </c:pt>
                  <c:pt idx="6">
                    <c:v>Turkey</c:v>
                  </c:pt>
                  <c:pt idx="7">
                    <c:v>Italy</c:v>
                  </c:pt>
                  <c:pt idx="8">
                    <c:v>Spain</c:v>
                  </c:pt>
                </c:lvl>
                <c:lvl>
                  <c:pt idx="0">
                    <c:v>ABC Holding</c:v>
                  </c:pt>
                  <c:pt idx="2">
                    <c:v>Anadolu Store</c:v>
                  </c:pt>
                  <c:pt idx="3">
                    <c:v>Delta BV</c:v>
                  </c:pt>
                  <c:pt idx="4">
                    <c:v>Ege Group</c:v>
                  </c:pt>
                  <c:pt idx="5">
                    <c:v>Muller GmbH</c:v>
                  </c:pt>
                  <c:pt idx="7">
                    <c:v>Rossi Home</c:v>
                  </c:pt>
                </c:lvl>
              </c:multiLvlStrCache>
            </c:multiLvlStrRef>
          </c:cat>
          <c:val>
            <c:numRef>
              <c:f>Pivots!$C$4:$C$19</c:f>
              <c:numCache>
                <c:formatCode>General</c:formatCode>
                <c:ptCount val="9"/>
                <c:pt idx="0">
                  <c:v>840</c:v>
                </c:pt>
                <c:pt idx="1">
                  <c:v>600</c:v>
                </c:pt>
                <c:pt idx="2">
                  <c:v>1040</c:v>
                </c:pt>
                <c:pt idx="3">
                  <c:v>880</c:v>
                </c:pt>
                <c:pt idx="4">
                  <c:v>3440</c:v>
                </c:pt>
                <c:pt idx="5">
                  <c:v>950</c:v>
                </c:pt>
                <c:pt idx="6">
                  <c:v>1200</c:v>
                </c:pt>
                <c:pt idx="7">
                  <c:v>1350</c:v>
                </c:pt>
                <c:pt idx="8">
                  <c:v>960</c:v>
                </c:pt>
              </c:numCache>
            </c:numRef>
          </c:val>
          <c:extLst>
            <c:ext xmlns:c16="http://schemas.microsoft.com/office/drawing/2014/chart" uri="{C3380CC4-5D6E-409C-BE32-E72D297353CC}">
              <c16:uniqueId val="{00000012-5133-42AC-9190-0B92FE6096F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[Excel_Portfolio_Sales_Dataset.xlsx]Pivots!PivotTable2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tr-TR"/>
              <a:t> Discount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Pivots!$I$4:$J$19</c:f>
              <c:multiLvlStrCache>
                <c:ptCount val="9"/>
                <c:lvl>
                  <c:pt idx="0">
                    <c:v>France</c:v>
                  </c:pt>
                  <c:pt idx="1">
                    <c:v>Turkey</c:v>
                  </c:pt>
                  <c:pt idx="2">
                    <c:v>Turkey</c:v>
                  </c:pt>
                  <c:pt idx="3">
                    <c:v>Netherlands</c:v>
                  </c:pt>
                  <c:pt idx="4">
                    <c:v>Turkey</c:v>
                  </c:pt>
                  <c:pt idx="5">
                    <c:v>Germany</c:v>
                  </c:pt>
                  <c:pt idx="6">
                    <c:v>Turkey</c:v>
                  </c:pt>
                  <c:pt idx="7">
                    <c:v>Italy</c:v>
                  </c:pt>
                  <c:pt idx="8">
                    <c:v>Spain</c:v>
                  </c:pt>
                </c:lvl>
                <c:lvl>
                  <c:pt idx="0">
                    <c:v>ABC Holding</c:v>
                  </c:pt>
                  <c:pt idx="2">
                    <c:v>Anadolu Store</c:v>
                  </c:pt>
                  <c:pt idx="3">
                    <c:v>Delta BV</c:v>
                  </c:pt>
                  <c:pt idx="4">
                    <c:v>Ege Group</c:v>
                  </c:pt>
                  <c:pt idx="5">
                    <c:v>Muller GmbH</c:v>
                  </c:pt>
                  <c:pt idx="7">
                    <c:v>Rossi Home</c:v>
                  </c:pt>
                </c:lvl>
              </c:multiLvlStrCache>
            </c:multiLvlStrRef>
          </c:cat>
          <c:val>
            <c:numRef>
              <c:f>Pivots!$K$4:$K$19</c:f>
              <c:numCache>
                <c:formatCode>General</c:formatCode>
                <c:ptCount val="9"/>
                <c:pt idx="0">
                  <c:v>0.35000000000000003</c:v>
                </c:pt>
                <c:pt idx="1">
                  <c:v>0.25</c:v>
                </c:pt>
                <c:pt idx="2">
                  <c:v>0.4</c:v>
                </c:pt>
                <c:pt idx="3">
                  <c:v>0</c:v>
                </c:pt>
                <c:pt idx="4">
                  <c:v>1.6</c:v>
                </c:pt>
                <c:pt idx="5">
                  <c:v>0</c:v>
                </c:pt>
                <c:pt idx="6">
                  <c:v>1.2000000000000002</c:v>
                </c:pt>
                <c:pt idx="7">
                  <c:v>0</c:v>
                </c:pt>
                <c:pt idx="8">
                  <c:v>0</c:v>
                </c:pt>
              </c:numCache>
            </c:numRef>
          </c:val>
          <c:extLst>
            <c:ext xmlns:c16="http://schemas.microsoft.com/office/drawing/2014/chart" uri="{C3380CC4-5D6E-409C-BE32-E72D297353CC}">
              <c16:uniqueId val="{00000000-2B70-4503-BF42-2C4EB74535B8}"/>
            </c:ext>
          </c:extLst>
        </c:ser>
        <c:dLbls>
          <c:dLblPos val="inEnd"/>
          <c:showLegendKey val="0"/>
          <c:showVal val="1"/>
          <c:showCatName val="0"/>
          <c:showSerName val="0"/>
          <c:showPercent val="0"/>
          <c:showBubbleSize val="0"/>
        </c:dLbls>
        <c:gapWidth val="65"/>
        <c:axId val="1171075535"/>
        <c:axId val="1171088015"/>
      </c:barChart>
      <c:catAx>
        <c:axId val="11710755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1088015"/>
        <c:crosses val="autoZero"/>
        <c:auto val="1"/>
        <c:lblAlgn val="ctr"/>
        <c:lblOffset val="100"/>
        <c:noMultiLvlLbl val="0"/>
      </c:catAx>
      <c:valAx>
        <c:axId val="1171088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710755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[Excel_Portfolio_Sales_Dataset.xlsx]Pivots!PivotTable3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tr-TR"/>
              <a:t> Customers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Pivots!$N$3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Pivots!$M$4:$M$10</c:f>
              <c:strCache>
                <c:ptCount val="6"/>
                <c:pt idx="0">
                  <c:v>ABC Holding</c:v>
                </c:pt>
                <c:pt idx="1">
                  <c:v>Anadolu Store</c:v>
                </c:pt>
                <c:pt idx="2">
                  <c:v>Delta BV</c:v>
                </c:pt>
                <c:pt idx="3">
                  <c:v>Ege Group</c:v>
                </c:pt>
                <c:pt idx="4">
                  <c:v>Muller GmbH</c:v>
                </c:pt>
                <c:pt idx="5">
                  <c:v>Rossi Home</c:v>
                </c:pt>
              </c:strCache>
            </c:strRef>
          </c:cat>
          <c:val>
            <c:numRef>
              <c:f>Pivots!$N$4:$N$10</c:f>
              <c:numCache>
                <c:formatCode>General</c:formatCode>
                <c:ptCount val="6"/>
                <c:pt idx="0">
                  <c:v>2</c:v>
                </c:pt>
                <c:pt idx="1">
                  <c:v>1</c:v>
                </c:pt>
                <c:pt idx="2">
                  <c:v>1</c:v>
                </c:pt>
                <c:pt idx="3">
                  <c:v>2</c:v>
                </c:pt>
                <c:pt idx="4">
                  <c:v>2</c:v>
                </c:pt>
                <c:pt idx="5">
                  <c:v>2</c:v>
                </c:pt>
              </c:numCache>
            </c:numRef>
          </c:val>
          <c:extLst>
            <c:ext xmlns:c16="http://schemas.microsoft.com/office/drawing/2014/chart" uri="{C3380CC4-5D6E-409C-BE32-E72D297353CC}">
              <c16:uniqueId val="{00000000-014A-483A-80AA-3B4ED9E6B1B0}"/>
            </c:ext>
          </c:extLst>
        </c:ser>
        <c:dLbls>
          <c:dLblPos val="outEnd"/>
          <c:showLegendKey val="0"/>
          <c:showVal val="1"/>
          <c:showCatName val="0"/>
          <c:showSerName val="0"/>
          <c:showPercent val="0"/>
          <c:showBubbleSize val="0"/>
        </c:dLbls>
        <c:gapWidth val="65"/>
        <c:axId val="907401712"/>
        <c:axId val="907402192"/>
      </c:barChart>
      <c:catAx>
        <c:axId val="90740171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7402192"/>
        <c:crosses val="autoZero"/>
        <c:auto val="1"/>
        <c:lblAlgn val="ctr"/>
        <c:lblOffset val="100"/>
        <c:noMultiLvlLbl val="0"/>
      </c:catAx>
      <c:valAx>
        <c:axId val="9074021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0740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[Excel_Portfolio_Sales_Dataset.xlsx]Pivots!PivotTable7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tr-TR"/>
              <a:t> Sales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Pivots!$H$43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Pivots!$G$44:$G$46</c:f>
              <c:strCache>
                <c:ptCount val="2"/>
                <c:pt idx="0">
                  <c:v>2023</c:v>
                </c:pt>
                <c:pt idx="1">
                  <c:v>2024</c:v>
                </c:pt>
              </c:strCache>
            </c:strRef>
          </c:cat>
          <c:val>
            <c:numRef>
              <c:f>Pivots!$H$44:$H$46</c:f>
              <c:numCache>
                <c:formatCode>General</c:formatCode>
                <c:ptCount val="2"/>
                <c:pt idx="0">
                  <c:v>23630</c:v>
                </c:pt>
                <c:pt idx="1">
                  <c:v>29050</c:v>
                </c:pt>
              </c:numCache>
            </c:numRef>
          </c:val>
          <c:smooth val="0"/>
          <c:extLst>
            <c:ext xmlns:c16="http://schemas.microsoft.com/office/drawing/2014/chart" uri="{C3380CC4-5D6E-409C-BE32-E72D297353CC}">
              <c16:uniqueId val="{00000000-C803-4CC9-B31D-ED33E7949303}"/>
            </c:ext>
          </c:extLst>
        </c:ser>
        <c:dLbls>
          <c:dLblPos val="ctr"/>
          <c:showLegendKey val="0"/>
          <c:showVal val="1"/>
          <c:showCatName val="0"/>
          <c:showSerName val="0"/>
          <c:showPercent val="0"/>
          <c:showBubbleSize val="0"/>
        </c:dLbls>
        <c:marker val="1"/>
        <c:smooth val="0"/>
        <c:axId val="2062915776"/>
        <c:axId val="2062908096"/>
      </c:lineChart>
      <c:catAx>
        <c:axId val="2062915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2908096"/>
        <c:crosses val="autoZero"/>
        <c:auto val="1"/>
        <c:lblAlgn val="ctr"/>
        <c:lblOffset val="100"/>
        <c:noMultiLvlLbl val="0"/>
      </c:catAx>
      <c:valAx>
        <c:axId val="20629080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62915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4</xdr:col>
      <xdr:colOff>45720</xdr:colOff>
      <xdr:row>1</xdr:row>
      <xdr:rowOff>175261</xdr:rowOff>
    </xdr:from>
    <xdr:to>
      <xdr:col>6</xdr:col>
      <xdr:colOff>655320</xdr:colOff>
      <xdr:row>12</xdr:row>
      <xdr:rowOff>129540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11F6B1BA-1E22-66B5-26C1-A4EF425B747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38500" y="358141"/>
              <a:ext cx="1828800" cy="1965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20</xdr:row>
      <xdr:rowOff>7620</xdr:rowOff>
    </xdr:from>
    <xdr:to>
      <xdr:col>5</xdr:col>
      <xdr:colOff>236220</xdr:colOff>
      <xdr:row>40</xdr:row>
      <xdr:rowOff>91440</xdr:rowOff>
    </xdr:to>
    <xdr:graphicFrame macro="">
      <xdr:nvGraphicFramePr>
        <xdr:cNvPr id="4" name="Chart 3">
          <a:extLst>
            <a:ext uri="{FF2B5EF4-FFF2-40B4-BE49-F238E27FC236}">
              <a16:creationId xmlns:a16="http://schemas.microsoft.com/office/drawing/2014/main" id="{76FEF59E-FC51-A1B4-EAC6-F78E48243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373380</xdr:colOff>
      <xdr:row>19</xdr:row>
      <xdr:rowOff>160020</xdr:rowOff>
    </xdr:from>
    <xdr:to>
      <xdr:col>12</xdr:col>
      <xdr:colOff>342900</xdr:colOff>
      <xdr:row>38</xdr:row>
      <xdr:rowOff>144780</xdr:rowOff>
    </xdr:to>
    <xdr:graphicFrame macro="">
      <xdr:nvGraphicFramePr>
        <xdr:cNvPr id="5" name="Chart 4">
          <a:extLst>
            <a:ext uri="{FF2B5EF4-FFF2-40B4-BE49-F238E27FC236}">
              <a16:creationId xmlns:a16="http://schemas.microsoft.com/office/drawing/2014/main" id="{75881163-ED2C-ACE9-4247-B1B704106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209550</xdr:colOff>
      <xdr:row>10</xdr:row>
      <xdr:rowOff>152400</xdr:rowOff>
    </xdr:from>
    <xdr:to>
      <xdr:col>17</xdr:col>
      <xdr:colOff>358140</xdr:colOff>
      <xdr:row>25</xdr:row>
      <xdr:rowOff>152400</xdr:rowOff>
    </xdr:to>
    <xdr:graphicFrame macro="">
      <xdr:nvGraphicFramePr>
        <xdr:cNvPr id="7" name="Chart 6">
          <a:extLst>
            <a:ext uri="{FF2B5EF4-FFF2-40B4-BE49-F238E27FC236}">
              <a16:creationId xmlns:a16="http://schemas.microsoft.com/office/drawing/2014/main" id="{7DE21923-9A87-BE53-BC37-3F22BBF18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274320</xdr:colOff>
      <xdr:row>39</xdr:row>
      <xdr:rowOff>144780</xdr:rowOff>
    </xdr:from>
    <xdr:to>
      <xdr:col>13</xdr:col>
      <xdr:colOff>274320</xdr:colOff>
      <xdr:row>54</xdr:row>
      <xdr:rowOff>144780</xdr:rowOff>
    </xdr:to>
    <xdr:graphicFrame macro="">
      <xdr:nvGraphicFramePr>
        <xdr:cNvPr id="3" name="Chart 2">
          <a:extLst>
            <a:ext uri="{FF2B5EF4-FFF2-40B4-BE49-F238E27FC236}">
              <a16:creationId xmlns:a16="http://schemas.microsoft.com/office/drawing/2014/main" id="{2EAAC4D6-3719-8BC9-D10E-4E4ECD646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274320</xdr:colOff>
      <xdr:row>47</xdr:row>
      <xdr:rowOff>83821</xdr:rowOff>
    </xdr:from>
    <xdr:to>
      <xdr:col>7</xdr:col>
      <xdr:colOff>632460</xdr:colOff>
      <xdr:row>53</xdr:row>
      <xdr:rowOff>30481</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B472AE27-81FC-DA8C-05DA-64B13148F8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076700" y="8679181"/>
              <a:ext cx="1828800" cy="1043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640080</xdr:colOff>
      <xdr:row>1</xdr:row>
      <xdr:rowOff>129540</xdr:rowOff>
    </xdr:from>
    <xdr:to>
      <xdr:col>20</xdr:col>
      <xdr:colOff>544286</xdr:colOff>
      <xdr:row>18</xdr:row>
      <xdr:rowOff>15240</xdr:rowOff>
    </xdr:to>
    <xdr:graphicFrame macro="">
      <xdr:nvGraphicFramePr>
        <xdr:cNvPr id="2" name="Chart 1">
          <a:extLst>
            <a:ext uri="{FF2B5EF4-FFF2-40B4-BE49-F238E27FC236}">
              <a16:creationId xmlns:a16="http://schemas.microsoft.com/office/drawing/2014/main" id="{E8E3ADEE-C442-4208-A0F9-23443905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563880</xdr:colOff>
      <xdr:row>24</xdr:row>
      <xdr:rowOff>7620</xdr:rowOff>
    </xdr:from>
    <xdr:to>
      <xdr:col>23</xdr:col>
      <xdr:colOff>563880</xdr:colOff>
      <xdr:row>35</xdr:row>
      <xdr:rowOff>22859</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D259FD01-6747-4366-8BD5-67F1C52ADF2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424160" y="4678680"/>
              <a:ext cx="1828800" cy="2026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579119</xdr:colOff>
      <xdr:row>18</xdr:row>
      <xdr:rowOff>99060</xdr:rowOff>
    </xdr:from>
    <xdr:to>
      <xdr:col>23</xdr:col>
      <xdr:colOff>587828</xdr:colOff>
      <xdr:row>23</xdr:row>
      <xdr:rowOff>129540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6827C8C2-B77F-496D-B1E9-C68C5F4E7DB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439399" y="3672840"/>
              <a:ext cx="1837509"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373380</xdr:colOff>
      <xdr:row>1</xdr:row>
      <xdr:rowOff>106680</xdr:rowOff>
    </xdr:from>
    <xdr:to>
      <xdr:col>13</xdr:col>
      <xdr:colOff>510540</xdr:colOff>
      <xdr:row>18</xdr:row>
      <xdr:rowOff>15240</xdr:rowOff>
    </xdr:to>
    <xdr:graphicFrame macro="">
      <xdr:nvGraphicFramePr>
        <xdr:cNvPr id="5" name="Chart 4">
          <a:extLst>
            <a:ext uri="{FF2B5EF4-FFF2-40B4-BE49-F238E27FC236}">
              <a16:creationId xmlns:a16="http://schemas.microsoft.com/office/drawing/2014/main" id="{AA0D0B42-B6A2-4A1D-8B77-5C704D328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365760</xdr:colOff>
      <xdr:row>18</xdr:row>
      <xdr:rowOff>53340</xdr:rowOff>
    </xdr:from>
    <xdr:to>
      <xdr:col>12</xdr:col>
      <xdr:colOff>45720</xdr:colOff>
      <xdr:row>35</xdr:row>
      <xdr:rowOff>0</xdr:rowOff>
    </xdr:to>
    <xdr:graphicFrame macro="">
      <xdr:nvGraphicFramePr>
        <xdr:cNvPr id="6" name="Chart 5">
          <a:extLst>
            <a:ext uri="{FF2B5EF4-FFF2-40B4-BE49-F238E27FC236}">
              <a16:creationId xmlns:a16="http://schemas.microsoft.com/office/drawing/2014/main" id="{AA7AB418-F2FD-40A4-8849-424E3F23E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152400</xdr:colOff>
      <xdr:row>18</xdr:row>
      <xdr:rowOff>83820</xdr:rowOff>
    </xdr:from>
    <xdr:to>
      <xdr:col>20</xdr:col>
      <xdr:colOff>525780</xdr:colOff>
      <xdr:row>35</xdr:row>
      <xdr:rowOff>21771</xdr:rowOff>
    </xdr:to>
    <xdr:graphicFrame macro="">
      <xdr:nvGraphicFramePr>
        <xdr:cNvPr id="7" name="Chart 6">
          <a:extLst>
            <a:ext uri="{FF2B5EF4-FFF2-40B4-BE49-F238E27FC236}">
              <a16:creationId xmlns:a16="http://schemas.microsoft.com/office/drawing/2014/main" id="{29F807F7-D5D0-45ED-9ADC-8DDF94AC7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84909</xdr:colOff>
      <xdr:row>2</xdr:row>
      <xdr:rowOff>0</xdr:rowOff>
    </xdr:from>
    <xdr:to>
      <xdr:col>24</xdr:col>
      <xdr:colOff>8709</xdr:colOff>
      <xdr:row>5</xdr:row>
      <xdr:rowOff>177437</xdr:rowOff>
    </xdr:to>
    <xdr:sp macro="" textlink="">
      <xdr:nvSpPr>
        <xdr:cNvPr id="8" name="Rectangle 7">
          <a:extLst>
            <a:ext uri="{FF2B5EF4-FFF2-40B4-BE49-F238E27FC236}">
              <a16:creationId xmlns:a16="http://schemas.microsoft.com/office/drawing/2014/main" id="{E090E4DA-73B1-9D59-D25C-0965A6726F57}"/>
            </a:ext>
          </a:extLst>
        </xdr:cNvPr>
        <xdr:cNvSpPr/>
      </xdr:nvSpPr>
      <xdr:spPr>
        <a:xfrm>
          <a:off x="10556966" y="653143"/>
          <a:ext cx="1752600" cy="732608"/>
        </a:xfrm>
        <a:prstGeom prst="rect">
          <a:avLst/>
        </a:prstGeom>
      </xdr:spPr>
      <xdr:style>
        <a:lnRef idx="2">
          <a:schemeClr val="accent5">
            <a:shade val="15000"/>
          </a:schemeClr>
        </a:lnRef>
        <a:fillRef idx="1002">
          <a:schemeClr val="lt1"/>
        </a:fillRef>
        <a:effectRef idx="0">
          <a:schemeClr val="accent5"/>
        </a:effectRef>
        <a:fontRef idx="minor">
          <a:schemeClr val="lt1"/>
        </a:fontRef>
      </xdr:style>
      <xdr:txBody>
        <a:bodyPr vertOverflow="clip" horzOverflow="clip" rtlCol="0" anchor="t"/>
        <a:lstStyle/>
        <a:p>
          <a:pPr algn="ctr"/>
          <a:r>
            <a:rPr lang="tr-TR" sz="1600">
              <a:solidFill>
                <a:sysClr val="windowText" lastClr="000000"/>
              </a:solidFill>
            </a:rPr>
            <a:t>Total</a:t>
          </a:r>
          <a:r>
            <a:rPr lang="tr-TR" sz="1600" baseline="0">
              <a:solidFill>
                <a:sysClr val="windowText" lastClr="000000"/>
              </a:solidFill>
            </a:rPr>
            <a:t> Sales</a:t>
          </a:r>
          <a:endParaRPr lang="en-US" sz="1600">
            <a:solidFill>
              <a:sysClr val="windowText" lastClr="000000"/>
            </a:solidFill>
          </a:endParaRPr>
        </a:p>
      </xdr:txBody>
    </xdr:sp>
    <xdr:clientData/>
  </xdr:twoCellAnchor>
  <xdr:oneCellAnchor>
    <xdr:from>
      <xdr:col>21</xdr:col>
      <xdr:colOff>551906</xdr:colOff>
      <xdr:row>3</xdr:row>
      <xdr:rowOff>145869</xdr:rowOff>
    </xdr:from>
    <xdr:ext cx="730585" cy="311496"/>
    <xdr:sp macro="" textlink="">
      <xdr:nvSpPr>
        <xdr:cNvPr id="17" name="TextBox 16">
          <a:extLst>
            <a:ext uri="{FF2B5EF4-FFF2-40B4-BE49-F238E27FC236}">
              <a16:creationId xmlns:a16="http://schemas.microsoft.com/office/drawing/2014/main" id="{CB923F4C-94A0-B33F-A068-95F406DAB6EE}"/>
            </a:ext>
          </a:extLst>
        </xdr:cNvPr>
        <xdr:cNvSpPr txBox="1"/>
      </xdr:nvSpPr>
      <xdr:spPr>
        <a:xfrm>
          <a:off x="11023963" y="984069"/>
          <a:ext cx="7305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400"/>
            <a:t>105225</a:t>
          </a:r>
          <a:endParaRPr lang="en-US" sz="1400"/>
        </a:p>
      </xdr:txBody>
    </xdr:sp>
    <xdr:clientData/>
  </xdr:oneCellAnchor>
  <xdr:twoCellAnchor>
    <xdr:from>
      <xdr:col>21</xdr:col>
      <xdr:colOff>70757</xdr:colOff>
      <xdr:row>7</xdr:row>
      <xdr:rowOff>121920</xdr:rowOff>
    </xdr:from>
    <xdr:to>
      <xdr:col>23</xdr:col>
      <xdr:colOff>604157</xdr:colOff>
      <xdr:row>11</xdr:row>
      <xdr:rowOff>28303</xdr:rowOff>
    </xdr:to>
    <xdr:sp macro="" textlink="">
      <xdr:nvSpPr>
        <xdr:cNvPr id="18" name="Rectangle 17">
          <a:extLst>
            <a:ext uri="{FF2B5EF4-FFF2-40B4-BE49-F238E27FC236}">
              <a16:creationId xmlns:a16="http://schemas.microsoft.com/office/drawing/2014/main" id="{FBB8393B-0E04-4188-B114-39C532F3D2F4}"/>
            </a:ext>
          </a:extLst>
        </xdr:cNvPr>
        <xdr:cNvSpPr/>
      </xdr:nvSpPr>
      <xdr:spPr>
        <a:xfrm>
          <a:off x="10542814" y="1700349"/>
          <a:ext cx="1752600" cy="646611"/>
        </a:xfrm>
        <a:prstGeom prst="rect">
          <a:avLst/>
        </a:prstGeom>
      </xdr:spPr>
      <xdr:style>
        <a:lnRef idx="2">
          <a:schemeClr val="accent5">
            <a:shade val="15000"/>
          </a:schemeClr>
        </a:lnRef>
        <a:fillRef idx="1002">
          <a:schemeClr val="lt1"/>
        </a:fillRef>
        <a:effectRef idx="0">
          <a:schemeClr val="accent5"/>
        </a:effectRef>
        <a:fontRef idx="minor">
          <a:schemeClr val="lt1"/>
        </a:fontRef>
      </xdr:style>
      <xdr:txBody>
        <a:bodyPr vertOverflow="clip" horzOverflow="clip" rtlCol="0" anchor="t"/>
        <a:lstStyle/>
        <a:p>
          <a:pPr algn="ctr"/>
          <a:r>
            <a:rPr lang="tr-TR" sz="1600">
              <a:solidFill>
                <a:sysClr val="windowText" lastClr="000000"/>
              </a:solidFill>
            </a:rPr>
            <a:t>Total</a:t>
          </a:r>
          <a:r>
            <a:rPr lang="tr-TR" sz="1600" baseline="0">
              <a:solidFill>
                <a:sysClr val="windowText" lastClr="000000"/>
              </a:solidFill>
            </a:rPr>
            <a:t> Products</a:t>
          </a:r>
          <a:endParaRPr lang="en-US" sz="1600">
            <a:solidFill>
              <a:sysClr val="windowText" lastClr="000000"/>
            </a:solidFill>
          </a:endParaRPr>
        </a:p>
      </xdr:txBody>
    </xdr:sp>
    <xdr:clientData/>
  </xdr:twoCellAnchor>
  <xdr:oneCellAnchor>
    <xdr:from>
      <xdr:col>22</xdr:col>
      <xdr:colOff>65314</xdr:colOff>
      <xdr:row>9</xdr:row>
      <xdr:rowOff>23949</xdr:rowOff>
    </xdr:from>
    <xdr:ext cx="392672" cy="342786"/>
    <xdr:sp macro="" textlink="">
      <xdr:nvSpPr>
        <xdr:cNvPr id="19" name="TextBox 18">
          <a:extLst>
            <a:ext uri="{FF2B5EF4-FFF2-40B4-BE49-F238E27FC236}">
              <a16:creationId xmlns:a16="http://schemas.microsoft.com/office/drawing/2014/main" id="{B1B5F945-F292-D7C3-CAFC-554712C8006B}"/>
            </a:ext>
          </a:extLst>
        </xdr:cNvPr>
        <xdr:cNvSpPr txBox="1"/>
      </xdr:nvSpPr>
      <xdr:spPr>
        <a:xfrm>
          <a:off x="11146971" y="1972492"/>
          <a:ext cx="39267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600"/>
            <a:t>10</a:t>
          </a:r>
          <a:endParaRPr lang="en-US" sz="1600"/>
        </a:p>
      </xdr:txBody>
    </xdr:sp>
    <xdr:clientData/>
  </xdr:oneCellAnchor>
  <xdr:twoCellAnchor>
    <xdr:from>
      <xdr:col>21</xdr:col>
      <xdr:colOff>75111</xdr:colOff>
      <xdr:row>13</xdr:row>
      <xdr:rowOff>72934</xdr:rowOff>
    </xdr:from>
    <xdr:to>
      <xdr:col>23</xdr:col>
      <xdr:colOff>608511</xdr:colOff>
      <xdr:row>17</xdr:row>
      <xdr:rowOff>65314</xdr:rowOff>
    </xdr:to>
    <xdr:sp macro="" textlink="">
      <xdr:nvSpPr>
        <xdr:cNvPr id="20" name="Rectangle 19">
          <a:extLst>
            <a:ext uri="{FF2B5EF4-FFF2-40B4-BE49-F238E27FC236}">
              <a16:creationId xmlns:a16="http://schemas.microsoft.com/office/drawing/2014/main" id="{48DB6938-D408-4FE8-B405-6EE22A4048EE}"/>
            </a:ext>
          </a:extLst>
        </xdr:cNvPr>
        <xdr:cNvSpPr/>
      </xdr:nvSpPr>
      <xdr:spPr>
        <a:xfrm>
          <a:off x="10547168" y="2761705"/>
          <a:ext cx="1752600" cy="732609"/>
        </a:xfrm>
        <a:prstGeom prst="rect">
          <a:avLst/>
        </a:prstGeom>
      </xdr:spPr>
      <xdr:style>
        <a:lnRef idx="2">
          <a:schemeClr val="accent5">
            <a:shade val="15000"/>
          </a:schemeClr>
        </a:lnRef>
        <a:fillRef idx="1002">
          <a:schemeClr val="lt1"/>
        </a:fillRef>
        <a:effectRef idx="0">
          <a:schemeClr val="accent5"/>
        </a:effectRef>
        <a:fontRef idx="minor">
          <a:schemeClr val="lt1"/>
        </a:fontRef>
      </xdr:style>
      <xdr:txBody>
        <a:bodyPr vertOverflow="clip" horzOverflow="clip" rtlCol="0" anchor="t"/>
        <a:lstStyle/>
        <a:p>
          <a:pPr algn="ctr"/>
          <a:r>
            <a:rPr lang="tr-TR" sz="1600">
              <a:solidFill>
                <a:sysClr val="windowText" lastClr="000000"/>
              </a:solidFill>
            </a:rPr>
            <a:t>Total</a:t>
          </a:r>
          <a:r>
            <a:rPr lang="tr-TR" sz="1600" baseline="0">
              <a:solidFill>
                <a:sysClr val="windowText" lastClr="000000"/>
              </a:solidFill>
            </a:rPr>
            <a:t> Orders</a:t>
          </a:r>
          <a:endParaRPr lang="en-US" sz="1600">
            <a:solidFill>
              <a:sysClr val="windowText" lastClr="000000"/>
            </a:solidFill>
          </a:endParaRPr>
        </a:p>
      </xdr:txBody>
    </xdr:sp>
    <xdr:clientData/>
  </xdr:twoCellAnchor>
  <xdr:oneCellAnchor>
    <xdr:from>
      <xdr:col>22</xdr:col>
      <xdr:colOff>84909</xdr:colOff>
      <xdr:row>15</xdr:row>
      <xdr:rowOff>21772</xdr:rowOff>
    </xdr:from>
    <xdr:ext cx="366639" cy="311496"/>
    <xdr:sp macro="" textlink="">
      <xdr:nvSpPr>
        <xdr:cNvPr id="21" name="TextBox 20">
          <a:extLst>
            <a:ext uri="{FF2B5EF4-FFF2-40B4-BE49-F238E27FC236}">
              <a16:creationId xmlns:a16="http://schemas.microsoft.com/office/drawing/2014/main" id="{CF523763-BCC1-36B6-CB64-39AE71A2882F}"/>
            </a:ext>
          </a:extLst>
        </xdr:cNvPr>
        <xdr:cNvSpPr txBox="1"/>
      </xdr:nvSpPr>
      <xdr:spPr>
        <a:xfrm>
          <a:off x="11166566" y="3080658"/>
          <a:ext cx="3666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400"/>
            <a:t>10</a:t>
          </a:r>
          <a:endParaRPr lang="en-US" sz="14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şenur Balkan" refreshedDate="46056.402216550923" createdVersion="8" refreshedVersion="8" minRefreshableVersion="3" recordCount="10" xr:uid="{18BC9A14-D869-4657-AA97-BD98994A93EB}">
  <cacheSource type="worksheet">
    <worksheetSource name="Table1"/>
  </cacheSource>
  <cacheFields count="14">
    <cacheField name="OrderID" numFmtId="0">
      <sharedItems containsSemiMixedTypes="0" containsString="0" containsNumber="1" containsInteger="1" minValue="2001" maxValue="2010"/>
    </cacheField>
    <cacheField name="OrderDate" numFmtId="14">
      <sharedItems count="10">
        <s v="2023-01-05"/>
        <s v="2023-01-18"/>
        <s v="2023-02-02"/>
        <s v="2023-03-11"/>
        <s v="2023-04-27"/>
        <s v="2024-01-09"/>
        <s v="2024-02-14"/>
        <s v="2024-03-30"/>
        <s v="2024-05-19"/>
        <s v="2024-06-25"/>
      </sharedItems>
    </cacheField>
    <cacheField name="Year" numFmtId="14">
      <sharedItems count="2">
        <s v="2023"/>
        <s v="2024"/>
      </sharedItems>
    </cacheField>
    <cacheField name="CustomerID" numFmtId="2">
      <sharedItems/>
    </cacheField>
    <cacheField name="Company" numFmtId="0">
      <sharedItems count="6">
        <s v="ABC Holding"/>
        <s v="Muller GmbH"/>
        <s v="Ege Group"/>
        <s v="Rossi Home"/>
        <s v="Delta BV"/>
        <s v="Anadolu Store"/>
      </sharedItems>
    </cacheField>
    <cacheField name="ProductID" numFmtId="0">
      <sharedItems/>
    </cacheField>
    <cacheField name="ProductName" numFmtId="0">
      <sharedItems/>
    </cacheField>
    <cacheField name="Country" numFmtId="0">
      <sharedItems count="6">
        <s v="Turkey"/>
        <s v="Germany"/>
        <s v="France"/>
        <s v="Italy"/>
        <s v="Netherlands"/>
        <s v="Spain"/>
      </sharedItems>
    </cacheField>
    <cacheField name="SalesChannel" numFmtId="0">
      <sharedItems/>
    </cacheField>
    <cacheField name="Quantity" numFmtId="0">
      <sharedItems containsSemiMixedTypes="0" containsString="0" containsNumber="1" containsInteger="1" minValue="3" maxValue="12"/>
    </cacheField>
    <cacheField name="UnitPrice" numFmtId="0">
      <sharedItems containsSemiMixedTypes="0" containsString="0" containsNumber="1" containsInteger="1" minValue="95" maxValue="220"/>
    </cacheField>
    <cacheField name="Discount" numFmtId="0">
      <sharedItems containsSemiMixedTypes="0" containsString="0" containsNumber="1" minValue="0" maxValue="0.1"/>
    </cacheField>
    <cacheField name="Sales" numFmtId="0" formula="Quantity*UnitPrice" databaseField="0"/>
    <cacheField name="TotalDiscount" numFmtId="0" formula="Quantity*Discount" databaseField="0"/>
  </cacheFields>
  <extLst>
    <ext xmlns:x14="http://schemas.microsoft.com/office/spreadsheetml/2009/9/main" uri="{725AE2AE-9491-48be-B2B4-4EB974FC3084}">
      <x14:pivotCacheDefinition pivotCacheId="1907631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2001"/>
    <x v="0"/>
    <x v="0"/>
    <s v="C001"/>
    <x v="0"/>
    <s v="P001"/>
    <s v="Modern Carpet A"/>
    <x v="0"/>
    <s v="Online"/>
    <n v="5"/>
    <n v="120"/>
    <n v="0.05"/>
  </r>
  <r>
    <n v="2002"/>
    <x v="1"/>
    <x v="0"/>
    <s v="C002"/>
    <x v="1"/>
    <s v="P002"/>
    <s v="Classic Carpet B"/>
    <x v="1"/>
    <s v="Offline"/>
    <n v="10"/>
    <n v="95"/>
    <n v="0"/>
  </r>
  <r>
    <n v="2003"/>
    <x v="2"/>
    <x v="0"/>
    <s v="C003"/>
    <x v="2"/>
    <s v="P003"/>
    <s v="Rug Premium X"/>
    <x v="0"/>
    <s v="Offline"/>
    <n v="3"/>
    <n v="210"/>
    <n v="0.1"/>
  </r>
  <r>
    <n v="2004"/>
    <x v="3"/>
    <x v="0"/>
    <s v="C001"/>
    <x v="0"/>
    <s v="P001"/>
    <s v="Modern Carpet A"/>
    <x v="2"/>
    <s v="Online"/>
    <n v="7"/>
    <n v="120"/>
    <n v="0.05"/>
  </r>
  <r>
    <n v="2005"/>
    <x v="4"/>
    <x v="0"/>
    <s v="C004"/>
    <x v="3"/>
    <s v="P004"/>
    <s v="Rug Standard Y"/>
    <x v="3"/>
    <s v="Online"/>
    <n v="9"/>
    <n v="150"/>
    <n v="0"/>
  </r>
  <r>
    <n v="2006"/>
    <x v="5"/>
    <x v="1"/>
    <s v="C002"/>
    <x v="1"/>
    <s v="P002"/>
    <s v="Classic Carpet B"/>
    <x v="0"/>
    <s v="Online"/>
    <n v="12"/>
    <n v="100"/>
    <n v="0.1"/>
  </r>
  <r>
    <n v="2007"/>
    <x v="6"/>
    <x v="1"/>
    <s v="C005"/>
    <x v="4"/>
    <s v="P003"/>
    <s v="Rug Premium X"/>
    <x v="4"/>
    <s v="Offline"/>
    <n v="4"/>
    <n v="220"/>
    <n v="0"/>
  </r>
  <r>
    <n v="2008"/>
    <x v="7"/>
    <x v="1"/>
    <s v="C006"/>
    <x v="5"/>
    <s v="P001"/>
    <s v="Modern Carpet A"/>
    <x v="0"/>
    <s v="Online"/>
    <n v="8"/>
    <n v="130"/>
    <n v="0.05"/>
  </r>
  <r>
    <n v="2009"/>
    <x v="8"/>
    <x v="1"/>
    <s v="C004"/>
    <x v="3"/>
    <s v="P004"/>
    <s v="Rug Standard Y"/>
    <x v="5"/>
    <s v="Offline"/>
    <n v="6"/>
    <n v="160"/>
    <n v="0"/>
  </r>
  <r>
    <n v="2010"/>
    <x v="9"/>
    <x v="1"/>
    <s v="C003"/>
    <x v="2"/>
    <s v="P003"/>
    <s v="Rug Premium X"/>
    <x v="0"/>
    <s v="Offline"/>
    <n v="5"/>
    <n v="220"/>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C50774-9CF7-47CE-8A8D-3A364CE294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0" firstHeaderRow="1" firstDataRow="1" firstDataCol="1"/>
  <pivotFields count="14">
    <pivotField showAll="0"/>
    <pivotField showAll="0"/>
    <pivotField showAll="0">
      <items count="3">
        <item x="0"/>
        <item x="1"/>
        <item t="default"/>
      </items>
    </pivotField>
    <pivotField dataField="1" showAll="0"/>
    <pivotField axis="axisRow" showAll="0">
      <items count="7">
        <item x="0"/>
        <item x="5"/>
        <item x="4"/>
        <item x="2"/>
        <item x="1"/>
        <item x="3"/>
        <item t="default"/>
      </items>
    </pivotField>
    <pivotField showAll="0"/>
    <pivotField showAll="0"/>
    <pivotField showAll="0">
      <items count="7">
        <item x="2"/>
        <item x="1"/>
        <item x="3"/>
        <item x="4"/>
        <item x="5"/>
        <item x="0"/>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4"/>
  </rowFields>
  <rowItems count="7">
    <i>
      <x/>
    </i>
    <i>
      <x v="1"/>
    </i>
    <i>
      <x v="2"/>
    </i>
    <i>
      <x v="3"/>
    </i>
    <i>
      <x v="4"/>
    </i>
    <i>
      <x v="5"/>
    </i>
    <i t="grand">
      <x/>
    </i>
  </rowItems>
  <colItems count="1">
    <i/>
  </colItems>
  <dataFields count="1">
    <dataField name="Count of CustomerID" fld="3"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F6CE69-8F46-4E05-9A48-9C4623EADF3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I3:K19" firstHeaderRow="1" firstDataRow="1" firstDataCol="2"/>
  <pivotFields count="14">
    <pivotField compact="0" showAll="0"/>
    <pivotField compact="0" showAll="0"/>
    <pivotField compact="0" showAll="0">
      <items count="3">
        <item x="0"/>
        <item x="1"/>
        <item t="default"/>
      </items>
    </pivotField>
    <pivotField compact="0" showAll="0"/>
    <pivotField axis="axisRow" compact="0" showAll="0">
      <items count="7">
        <item x="0"/>
        <item x="5"/>
        <item x="4"/>
        <item x="2"/>
        <item x="1"/>
        <item x="3"/>
        <item t="default"/>
      </items>
    </pivotField>
    <pivotField compact="0" showAll="0"/>
    <pivotField compact="0" showAll="0"/>
    <pivotField axis="axisRow" compact="0" showAll="0">
      <items count="7">
        <item x="2"/>
        <item x="1"/>
        <item x="3"/>
        <item x="4"/>
        <item x="5"/>
        <item x="0"/>
        <item t="default"/>
      </items>
    </pivotField>
    <pivotField compact="0" showAll="0"/>
    <pivotField compact="0" showAll="0"/>
    <pivotField compact="0" showAll="0"/>
    <pivotField compact="0" showAll="0"/>
    <pivotField compact="0" dragToRow="0" dragToCol="0" dragToPage="0" showAll="0" defaultSubtotal="0"/>
    <pivotField dataField="1" compact="0" dragToRow="0" dragToCol="0" dragToPage="0" showAll="0" defaultSubtotal="0"/>
  </pivotFields>
  <rowFields count="2">
    <field x="4"/>
    <field x="7"/>
  </rowFields>
  <rowItems count="16">
    <i>
      <x/>
    </i>
    <i r="1">
      <x/>
    </i>
    <i r="1">
      <x v="5"/>
    </i>
    <i>
      <x v="1"/>
    </i>
    <i r="1">
      <x v="5"/>
    </i>
    <i>
      <x v="2"/>
    </i>
    <i r="1">
      <x v="3"/>
    </i>
    <i>
      <x v="3"/>
    </i>
    <i r="1">
      <x v="5"/>
    </i>
    <i>
      <x v="4"/>
    </i>
    <i r="1">
      <x v="1"/>
    </i>
    <i r="1">
      <x v="5"/>
    </i>
    <i>
      <x v="5"/>
    </i>
    <i r="1">
      <x v="2"/>
    </i>
    <i r="1">
      <x v="4"/>
    </i>
    <i t="grand">
      <x/>
    </i>
  </rowItems>
  <colItems count="1">
    <i/>
  </colItems>
  <dataFields count="1">
    <dataField name="Sum of TotalDiscount" fld="13"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8C4029-F9B1-4FFE-951C-030300B482B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6">
  <location ref="A3:C19" firstHeaderRow="1" firstDataRow="1" firstDataCol="2"/>
  <pivotFields count="14">
    <pivotField compact="0" showAll="0"/>
    <pivotField compact="0" showAll="0"/>
    <pivotField compact="0" showAll="0">
      <items count="3">
        <item x="0"/>
        <item x="1"/>
        <item t="default"/>
      </items>
    </pivotField>
    <pivotField compact="0" showAll="0"/>
    <pivotField axis="axisRow" compact="0" showAll="0">
      <items count="7">
        <item x="0"/>
        <item x="5"/>
        <item x="4"/>
        <item x="2"/>
        <item x="1"/>
        <item x="3"/>
        <item t="default"/>
      </items>
    </pivotField>
    <pivotField compact="0" showAll="0"/>
    <pivotField compact="0" showAll="0"/>
    <pivotField axis="axisRow" compact="0" showAll="0">
      <items count="7">
        <item x="2"/>
        <item x="1"/>
        <item x="3"/>
        <item x="4"/>
        <item x="5"/>
        <item x="0"/>
        <item t="default"/>
      </items>
    </pivotField>
    <pivotField compact="0" showAll="0"/>
    <pivotField compact="0" showAll="0"/>
    <pivotField compact="0" showAll="0"/>
    <pivotField compact="0" showAll="0"/>
    <pivotField dataField="1" compact="0" dragToRow="0" dragToCol="0" dragToPage="0" showAll="0" defaultSubtotal="0"/>
    <pivotField compact="0" dragToRow="0" dragToCol="0" dragToPage="0" showAll="0" defaultSubtotal="0"/>
  </pivotFields>
  <rowFields count="2">
    <field x="4"/>
    <field x="7"/>
  </rowFields>
  <rowItems count="16">
    <i>
      <x/>
    </i>
    <i r="1">
      <x/>
    </i>
    <i r="1">
      <x v="5"/>
    </i>
    <i>
      <x v="1"/>
    </i>
    <i r="1">
      <x v="5"/>
    </i>
    <i>
      <x v="2"/>
    </i>
    <i r="1">
      <x v="3"/>
    </i>
    <i>
      <x v="3"/>
    </i>
    <i r="1">
      <x v="5"/>
    </i>
    <i>
      <x v="4"/>
    </i>
    <i r="1">
      <x v="1"/>
    </i>
    <i r="1">
      <x v="5"/>
    </i>
    <i>
      <x v="5"/>
    </i>
    <i r="1">
      <x v="2"/>
    </i>
    <i r="1">
      <x v="4"/>
    </i>
    <i t="grand">
      <x/>
    </i>
  </rowItems>
  <colItems count="1">
    <i/>
  </colItems>
  <dataFields count="1">
    <dataField name="Sum of Sales" fld="12"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4" count="1" selected="0">
            <x v="0"/>
          </reference>
          <reference field="7" count="1" selected="0">
            <x v="0"/>
          </reference>
        </references>
      </pivotArea>
    </chartFormat>
    <chartFormat chart="0" format="2">
      <pivotArea type="data" outline="0" fieldPosition="0">
        <references count="3">
          <reference field="4294967294" count="1" selected="0">
            <x v="0"/>
          </reference>
          <reference field="4" count="1" selected="0">
            <x v="0"/>
          </reference>
          <reference field="7" count="1" selected="0">
            <x v="5"/>
          </reference>
        </references>
      </pivotArea>
    </chartFormat>
    <chartFormat chart="0" format="3">
      <pivotArea type="data" outline="0" fieldPosition="0">
        <references count="3">
          <reference field="4294967294" count="1" selected="0">
            <x v="0"/>
          </reference>
          <reference field="4" count="1" selected="0">
            <x v="1"/>
          </reference>
          <reference field="7" count="1" selected="0">
            <x v="5"/>
          </reference>
        </references>
      </pivotArea>
    </chartFormat>
    <chartFormat chart="0" format="4">
      <pivotArea type="data" outline="0" fieldPosition="0">
        <references count="3">
          <reference field="4294967294" count="1" selected="0">
            <x v="0"/>
          </reference>
          <reference field="4" count="1" selected="0">
            <x v="2"/>
          </reference>
          <reference field="7" count="1" selected="0">
            <x v="3"/>
          </reference>
        </references>
      </pivotArea>
    </chartFormat>
    <chartFormat chart="0" format="5">
      <pivotArea type="data" outline="0" fieldPosition="0">
        <references count="3">
          <reference field="4294967294" count="1" selected="0">
            <x v="0"/>
          </reference>
          <reference field="4" count="1" selected="0">
            <x v="3"/>
          </reference>
          <reference field="7" count="1" selected="0">
            <x v="5"/>
          </reference>
        </references>
      </pivotArea>
    </chartFormat>
    <chartFormat chart="0" format="6">
      <pivotArea type="data" outline="0" fieldPosition="0">
        <references count="3">
          <reference field="4294967294" count="1" selected="0">
            <x v="0"/>
          </reference>
          <reference field="4" count="1" selected="0">
            <x v="4"/>
          </reference>
          <reference field="7" count="1" selected="0">
            <x v="1"/>
          </reference>
        </references>
      </pivotArea>
    </chartFormat>
    <chartFormat chart="0" format="7">
      <pivotArea type="data" outline="0" fieldPosition="0">
        <references count="3">
          <reference field="4294967294" count="1" selected="0">
            <x v="0"/>
          </reference>
          <reference field="4" count="1" selected="0">
            <x v="4"/>
          </reference>
          <reference field="7" count="1" selected="0">
            <x v="5"/>
          </reference>
        </references>
      </pivotArea>
    </chartFormat>
    <chartFormat chart="0" format="8">
      <pivotArea type="data" outline="0" fieldPosition="0">
        <references count="3">
          <reference field="4294967294" count="1" selected="0">
            <x v="0"/>
          </reference>
          <reference field="4" count="1" selected="0">
            <x v="5"/>
          </reference>
          <reference field="7" count="1" selected="0">
            <x v="2"/>
          </reference>
        </references>
      </pivotArea>
    </chartFormat>
    <chartFormat chart="0" format="9">
      <pivotArea type="data" outline="0" fieldPosition="0">
        <references count="3">
          <reference field="4294967294" count="1" selected="0">
            <x v="0"/>
          </reference>
          <reference field="4" count="1" selected="0">
            <x v="5"/>
          </reference>
          <reference field="7" count="1" selected="0">
            <x v="4"/>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3">
          <reference field="4294967294" count="1" selected="0">
            <x v="0"/>
          </reference>
          <reference field="4" count="1" selected="0">
            <x v="0"/>
          </reference>
          <reference field="7" count="1" selected="0">
            <x v="0"/>
          </reference>
        </references>
      </pivotArea>
    </chartFormat>
    <chartFormat chart="15" format="22">
      <pivotArea type="data" outline="0" fieldPosition="0">
        <references count="3">
          <reference field="4294967294" count="1" selected="0">
            <x v="0"/>
          </reference>
          <reference field="4" count="1" selected="0">
            <x v="0"/>
          </reference>
          <reference field="7" count="1" selected="0">
            <x v="5"/>
          </reference>
        </references>
      </pivotArea>
    </chartFormat>
    <chartFormat chart="15" format="23">
      <pivotArea type="data" outline="0" fieldPosition="0">
        <references count="3">
          <reference field="4294967294" count="1" selected="0">
            <x v="0"/>
          </reference>
          <reference field="4" count="1" selected="0">
            <x v="1"/>
          </reference>
          <reference field="7" count="1" selected="0">
            <x v="5"/>
          </reference>
        </references>
      </pivotArea>
    </chartFormat>
    <chartFormat chart="15" format="24">
      <pivotArea type="data" outline="0" fieldPosition="0">
        <references count="3">
          <reference field="4294967294" count="1" selected="0">
            <x v="0"/>
          </reference>
          <reference field="4" count="1" selected="0">
            <x v="2"/>
          </reference>
          <reference field="7" count="1" selected="0">
            <x v="3"/>
          </reference>
        </references>
      </pivotArea>
    </chartFormat>
    <chartFormat chart="15" format="25">
      <pivotArea type="data" outline="0" fieldPosition="0">
        <references count="3">
          <reference field="4294967294" count="1" selected="0">
            <x v="0"/>
          </reference>
          <reference field="4" count="1" selected="0">
            <x v="3"/>
          </reference>
          <reference field="7" count="1" selected="0">
            <x v="5"/>
          </reference>
        </references>
      </pivotArea>
    </chartFormat>
    <chartFormat chart="15" format="26">
      <pivotArea type="data" outline="0" fieldPosition="0">
        <references count="3">
          <reference field="4294967294" count="1" selected="0">
            <x v="0"/>
          </reference>
          <reference field="4" count="1" selected="0">
            <x v="4"/>
          </reference>
          <reference field="7" count="1" selected="0">
            <x v="1"/>
          </reference>
        </references>
      </pivotArea>
    </chartFormat>
    <chartFormat chart="15" format="27">
      <pivotArea type="data" outline="0" fieldPosition="0">
        <references count="3">
          <reference field="4294967294" count="1" selected="0">
            <x v="0"/>
          </reference>
          <reference field="4" count="1" selected="0">
            <x v="4"/>
          </reference>
          <reference field="7" count="1" selected="0">
            <x v="5"/>
          </reference>
        </references>
      </pivotArea>
    </chartFormat>
    <chartFormat chart="15" format="28">
      <pivotArea type="data" outline="0" fieldPosition="0">
        <references count="3">
          <reference field="4294967294" count="1" selected="0">
            <x v="0"/>
          </reference>
          <reference field="4" count="1" selected="0">
            <x v="5"/>
          </reference>
          <reference field="7" count="1" selected="0">
            <x v="2"/>
          </reference>
        </references>
      </pivotArea>
    </chartFormat>
    <chartFormat chart="15" format="29">
      <pivotArea type="data" outline="0" fieldPosition="0">
        <references count="3">
          <reference field="4294967294" count="1" selected="0">
            <x v="0"/>
          </reference>
          <reference field="4" count="1" selected="0">
            <x v="5"/>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C21FC0-2811-4608-90AC-2BE57C50D4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7:N38" firstHeaderRow="1" firstDataRow="1" firstDataCol="0"/>
  <pivotFields count="14">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Count of Order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2973AE-CA60-4525-B53C-D74D8E8A898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43:H46" firstHeaderRow="1" firstDataRow="1" firstDataCol="1"/>
  <pivotFields count="14">
    <pivotField showAll="0"/>
    <pivotField showAll="0">
      <items count="11">
        <item x="0"/>
        <item x="1"/>
        <item x="2"/>
        <item x="3"/>
        <item x="4"/>
        <item x="5"/>
        <item x="6"/>
        <item x="7"/>
        <item x="8"/>
        <item x="9"/>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2"/>
  </rowFields>
  <rowItems count="3">
    <i>
      <x/>
    </i>
    <i>
      <x v="1"/>
    </i>
    <i t="grand">
      <x/>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8C7A73-FC7B-4874-B2C2-D614FAEFE5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29:N30" firstHeaderRow="1" firstDataRow="1" firstDataCol="0"/>
  <pivotFields count="14">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Items count="1">
    <i/>
  </rowItems>
  <colItems count="1">
    <i/>
  </colItems>
  <dataFields count="1">
    <dataField name="Sum of Sales" fld="12" baseField="0" baseItem="0"/>
  </dataFields>
  <chartFormats count="2">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EC2C29-DE5D-4247-8B06-245A186ADA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4:N35" firstHeaderRow="1" firstDataRow="1" firstDataCol="0"/>
  <pivotFields count="14">
    <pivotField showAll="0"/>
    <pivotField showAll="0"/>
    <pivotField showAll="0">
      <items count="3">
        <item x="0"/>
        <item x="1"/>
        <item t="default"/>
      </items>
    </pivotField>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Count of Product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86E7470-73B2-4675-993E-D4F2A81DED5B}" sourceName="Country">
  <pivotTables>
    <pivotTable tabId="4" name="PivotTable1"/>
    <pivotTable tabId="4" name="PivotTable2"/>
    <pivotTable tabId="4" name="PivotTable3"/>
  </pivotTables>
  <data>
    <tabular pivotCacheId="1907631021">
      <items count="6">
        <i x="2" s="1"/>
        <i x="1" s="1"/>
        <i x="3" s="1"/>
        <i x="4"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1E35BFD-0462-4548-B9B2-D27A2ED5CC35}" sourceName="Year">
  <pivotTables>
    <pivotTable tabId="4" name="PivotTable7"/>
    <pivotTable tabId="4" name="PivotTable1"/>
    <pivotTable tabId="4" name="PivotTable2"/>
    <pivotTable tabId="4" name="PivotTable3"/>
    <pivotTable tabId="4" name="PivotTable4"/>
    <pivotTable tabId="4" name="PivotTable5"/>
    <pivotTable tabId="4" name="PivotTable6"/>
  </pivotTables>
  <data>
    <tabular pivotCacheId="190763102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85D1BFB-2AB9-452E-AC47-9C86702D69DA}" cache="Slicer_Country" caption="Country" rowHeight="234950"/>
  <slicer name="Year" xr10:uid="{F481B7B5-F47C-41E0-AA92-9BDB98CABA57}"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4C7D654-9581-4BC8-A47F-56E958775259}" cache="Slicer_Country" caption="Country" style="SlicerStyleOther1" rowHeight="234950"/>
  <slicer name="Year 1" xr10:uid="{EE740B55-74F6-4536-9D00-BE0B96716987}" cache="Slicer_Year" caption="Year"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F223CA-55B9-4897-AACE-4310AF208915}" name="Table1" displayName="Table1" ref="A1:L11" totalsRowShown="0">
  <autoFilter ref="A1:L11" xr:uid="{2BF223CA-55B9-4897-AACE-4310AF208915}"/>
  <tableColumns count="12">
    <tableColumn id="1" xr3:uid="{4E3C57B3-9973-4BB1-9C20-E02F0B812C81}" name="OrderID"/>
    <tableColumn id="2" xr3:uid="{441004D0-0CA1-49F8-99C4-6FE1EEBCDE8C}" name="OrderDate" dataDxfId="2"/>
    <tableColumn id="12" xr3:uid="{CA429D11-6879-408C-A0F6-DD9CDB356AEB}" name="Year" dataDxfId="1">
      <calculatedColumnFormula array="1">INDEX(_xlfn.TEXTSPLIT(B2, "-"), 1)</calculatedColumnFormula>
    </tableColumn>
    <tableColumn id="3" xr3:uid="{BE601F81-60DB-4317-8748-17EE28414D3C}" name="CustomerID" dataDxfId="0"/>
    <tableColumn id="4" xr3:uid="{5AB2E8D1-4F1A-4A8F-90AB-631E38114678}" name="Company">
      <calculatedColumnFormula>VLOOKUP(Orders!D2,Customers!$A$1:$E$7,2,FALSE)</calculatedColumnFormula>
    </tableColumn>
    <tableColumn id="5" xr3:uid="{4FBF3897-38F7-4644-90F7-DA2756A4C416}" name="ProductID"/>
    <tableColumn id="6" xr3:uid="{099ABF99-1492-41E9-9E55-874283177791}" name="ProductName">
      <calculatedColumnFormula>VLOOKUP(F2,Products!$A$1:$D$5,2,FALSE)</calculatedColumnFormula>
    </tableColumn>
    <tableColumn id="7" xr3:uid="{54C3D45A-3309-4F1E-BE31-02A6A1D9F244}" name="Country"/>
    <tableColumn id="8" xr3:uid="{66F52A6B-B5B1-45D4-A6A6-F50733CD0E2E}" name="SalesChannel"/>
    <tableColumn id="9" xr3:uid="{9019D7A8-BA13-46A0-A78E-7CC10CC8C7B4}" name="Quantity"/>
    <tableColumn id="10" xr3:uid="{5E735BDB-1DF8-4314-835F-AF806AF07AD3}" name="UnitPrice"/>
    <tableColumn id="11" xr3:uid="{DA86C61A-9214-43AA-9FFF-D291BB28084F}" name="Discount"/>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ACE6-0F7A-4156-BD31-217CCC2B0355}">
  <dimension ref="A3:O46"/>
  <sheetViews>
    <sheetView topLeftCell="A19" workbookViewId="0">
      <selection activeCell="Q50" sqref="Q50"/>
    </sheetView>
  </sheetViews>
  <sheetFormatPr defaultRowHeight="14.4" x14ac:dyDescent="0.3"/>
  <cols>
    <col min="1" max="1" width="15.109375" bestFit="1" customWidth="1"/>
    <col min="2" max="2" width="10.88671875" bestFit="1" customWidth="1"/>
    <col min="3" max="3" width="11.6640625" bestFit="1" customWidth="1"/>
    <col min="7" max="7" width="12.5546875" bestFit="1" customWidth="1"/>
    <col min="8" max="8" width="11.6640625" bestFit="1" customWidth="1"/>
    <col min="9" max="9" width="15.109375" bestFit="1" customWidth="1"/>
    <col min="10" max="10" width="10.88671875" bestFit="1" customWidth="1"/>
    <col min="11" max="11" width="19.21875" bestFit="1" customWidth="1"/>
    <col min="13" max="13" width="12.5546875" bestFit="1" customWidth="1"/>
    <col min="14" max="15" width="15.44140625" bestFit="1" customWidth="1"/>
    <col min="16" max="16" width="4.6640625" bestFit="1" customWidth="1"/>
    <col min="17" max="17" width="11.21875" bestFit="1" customWidth="1"/>
    <col min="18" max="18" width="5.6640625" bestFit="1" customWidth="1"/>
    <col min="19" max="19" width="6.77734375" bestFit="1" customWidth="1"/>
    <col min="20" max="20" width="10.77734375" bestFit="1" customWidth="1"/>
  </cols>
  <sheetData>
    <row r="3" spans="1:14" x14ac:dyDescent="0.3">
      <c r="A3" s="2" t="s">
        <v>66</v>
      </c>
      <c r="B3" s="2" t="s">
        <v>4</v>
      </c>
      <c r="C3" t="s">
        <v>69</v>
      </c>
      <c r="I3" s="2" t="s">
        <v>66</v>
      </c>
      <c r="J3" s="2" t="s">
        <v>4</v>
      </c>
      <c r="K3" t="s">
        <v>70</v>
      </c>
      <c r="M3" s="2" t="s">
        <v>67</v>
      </c>
      <c r="N3" t="s">
        <v>71</v>
      </c>
    </row>
    <row r="4" spans="1:14" x14ac:dyDescent="0.3">
      <c r="A4" t="s">
        <v>41</v>
      </c>
      <c r="C4">
        <v>2880</v>
      </c>
      <c r="I4" t="s">
        <v>41</v>
      </c>
      <c r="K4">
        <v>1.2000000000000002</v>
      </c>
      <c r="M4" s="3" t="s">
        <v>41</v>
      </c>
      <c r="N4">
        <v>2</v>
      </c>
    </row>
    <row r="5" spans="1:14" x14ac:dyDescent="0.3">
      <c r="B5" t="s">
        <v>23</v>
      </c>
      <c r="C5">
        <v>840</v>
      </c>
      <c r="J5" t="s">
        <v>23</v>
      </c>
      <c r="K5">
        <v>0.35000000000000003</v>
      </c>
      <c r="M5" s="3" t="s">
        <v>55</v>
      </c>
      <c r="N5">
        <v>1</v>
      </c>
    </row>
    <row r="6" spans="1:14" x14ac:dyDescent="0.3">
      <c r="B6" t="s">
        <v>12</v>
      </c>
      <c r="C6">
        <v>600</v>
      </c>
      <c r="J6" t="s">
        <v>12</v>
      </c>
      <c r="K6">
        <v>0.25</v>
      </c>
      <c r="M6" s="3" t="s">
        <v>53</v>
      </c>
      <c r="N6">
        <v>1</v>
      </c>
    </row>
    <row r="7" spans="1:14" x14ac:dyDescent="0.3">
      <c r="A7" t="s">
        <v>55</v>
      </c>
      <c r="C7">
        <v>1040</v>
      </c>
      <c r="I7" t="s">
        <v>55</v>
      </c>
      <c r="K7">
        <v>0.4</v>
      </c>
      <c r="M7" s="3" t="s">
        <v>49</v>
      </c>
      <c r="N7">
        <v>2</v>
      </c>
    </row>
    <row r="8" spans="1:14" x14ac:dyDescent="0.3">
      <c r="B8" t="s">
        <v>12</v>
      </c>
      <c r="C8">
        <v>1040</v>
      </c>
      <c r="J8" t="s">
        <v>12</v>
      </c>
      <c r="K8">
        <v>0.4</v>
      </c>
      <c r="M8" s="3" t="s">
        <v>45</v>
      </c>
      <c r="N8">
        <v>2</v>
      </c>
    </row>
    <row r="9" spans="1:14" x14ac:dyDescent="0.3">
      <c r="A9" t="s">
        <v>53</v>
      </c>
      <c r="C9">
        <v>880</v>
      </c>
      <c r="I9" t="s">
        <v>53</v>
      </c>
      <c r="K9">
        <v>0</v>
      </c>
      <c r="M9" s="3" t="s">
        <v>51</v>
      </c>
      <c r="N9">
        <v>2</v>
      </c>
    </row>
    <row r="10" spans="1:14" x14ac:dyDescent="0.3">
      <c r="B10" t="s">
        <v>31</v>
      </c>
      <c r="C10">
        <v>880</v>
      </c>
      <c r="J10" t="s">
        <v>31</v>
      </c>
      <c r="K10">
        <v>0</v>
      </c>
      <c r="M10" s="3" t="s">
        <v>68</v>
      </c>
      <c r="N10">
        <v>10</v>
      </c>
    </row>
    <row r="11" spans="1:14" x14ac:dyDescent="0.3">
      <c r="A11" t="s">
        <v>49</v>
      </c>
      <c r="C11">
        <v>3440</v>
      </c>
      <c r="I11" t="s">
        <v>49</v>
      </c>
      <c r="K11">
        <v>1.6</v>
      </c>
    </row>
    <row r="12" spans="1:14" x14ac:dyDescent="0.3">
      <c r="B12" t="s">
        <v>12</v>
      </c>
      <c r="C12">
        <v>3440</v>
      </c>
      <c r="J12" t="s">
        <v>12</v>
      </c>
      <c r="K12">
        <v>1.6</v>
      </c>
    </row>
    <row r="13" spans="1:14" x14ac:dyDescent="0.3">
      <c r="A13" t="s">
        <v>45</v>
      </c>
      <c r="C13">
        <v>4290</v>
      </c>
      <c r="I13" t="s">
        <v>45</v>
      </c>
      <c r="K13">
        <v>2.2000000000000002</v>
      </c>
    </row>
    <row r="14" spans="1:14" x14ac:dyDescent="0.3">
      <c r="B14" t="s">
        <v>17</v>
      </c>
      <c r="C14">
        <v>950</v>
      </c>
      <c r="J14" t="s">
        <v>17</v>
      </c>
      <c r="K14">
        <v>0</v>
      </c>
    </row>
    <row r="15" spans="1:14" x14ac:dyDescent="0.3">
      <c r="B15" t="s">
        <v>12</v>
      </c>
      <c r="C15">
        <v>1200</v>
      </c>
      <c r="J15" t="s">
        <v>12</v>
      </c>
      <c r="K15">
        <v>1.2000000000000002</v>
      </c>
    </row>
    <row r="16" spans="1:14" x14ac:dyDescent="0.3">
      <c r="A16" t="s">
        <v>51</v>
      </c>
      <c r="C16">
        <v>4650</v>
      </c>
      <c r="I16" t="s">
        <v>51</v>
      </c>
      <c r="K16">
        <v>0</v>
      </c>
    </row>
    <row r="17" spans="1:15" x14ac:dyDescent="0.3">
      <c r="B17" t="s">
        <v>27</v>
      </c>
      <c r="C17">
        <v>1350</v>
      </c>
      <c r="J17" t="s">
        <v>27</v>
      </c>
      <c r="K17">
        <v>0</v>
      </c>
    </row>
    <row r="18" spans="1:15" x14ac:dyDescent="0.3">
      <c r="B18" t="s">
        <v>35</v>
      </c>
      <c r="C18">
        <v>960</v>
      </c>
      <c r="J18" t="s">
        <v>35</v>
      </c>
      <c r="K18">
        <v>0</v>
      </c>
    </row>
    <row r="19" spans="1:15" x14ac:dyDescent="0.3">
      <c r="A19" t="s">
        <v>68</v>
      </c>
      <c r="C19">
        <v>105225</v>
      </c>
      <c r="I19" t="s">
        <v>68</v>
      </c>
      <c r="K19">
        <v>31.049999999999997</v>
      </c>
    </row>
    <row r="29" spans="1:15" x14ac:dyDescent="0.3">
      <c r="N29" t="s">
        <v>69</v>
      </c>
    </row>
    <row r="30" spans="1:15" x14ac:dyDescent="0.3">
      <c r="N30">
        <v>105225</v>
      </c>
      <c r="O30">
        <v>105225</v>
      </c>
    </row>
    <row r="34" spans="7:15" x14ac:dyDescent="0.3">
      <c r="N34" t="s">
        <v>72</v>
      </c>
    </row>
    <row r="35" spans="7:15" x14ac:dyDescent="0.3">
      <c r="N35">
        <v>10</v>
      </c>
      <c r="O35">
        <v>10</v>
      </c>
    </row>
    <row r="37" spans="7:15" x14ac:dyDescent="0.3">
      <c r="N37" t="s">
        <v>73</v>
      </c>
    </row>
    <row r="38" spans="7:15" x14ac:dyDescent="0.3">
      <c r="N38">
        <v>10</v>
      </c>
    </row>
    <row r="43" spans="7:15" x14ac:dyDescent="0.3">
      <c r="G43" s="2" t="s">
        <v>67</v>
      </c>
      <c r="H43" t="s">
        <v>69</v>
      </c>
    </row>
    <row r="44" spans="7:15" x14ac:dyDescent="0.3">
      <c r="G44" s="3" t="s">
        <v>75</v>
      </c>
      <c r="H44">
        <v>23630</v>
      </c>
    </row>
    <row r="45" spans="7:15" x14ac:dyDescent="0.3">
      <c r="G45" s="3" t="s">
        <v>76</v>
      </c>
      <c r="H45">
        <v>29050</v>
      </c>
    </row>
    <row r="46" spans="7:15" x14ac:dyDescent="0.3">
      <c r="G46" s="3" t="s">
        <v>68</v>
      </c>
      <c r="H46">
        <v>105225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A1EB-F6F9-4C20-B599-8B08DD08375E}">
  <dimension ref="B1:W31"/>
  <sheetViews>
    <sheetView showGridLines="0" showRowColHeaders="0" tabSelected="1" zoomScale="70" zoomScaleNormal="70" workbookViewId="0">
      <selection activeCell="AA10" sqref="AA10"/>
      <extLst>
        <ext xmlns:xlsdti="http://schemas.microsoft.com/office/spreadsheetml/2023/showDataTypeIcons" uri="{77bfe23e-c014-4d31-8a63-9c772dbf06b6}">
          <xlsdti:showDataTypeIcons visible="0"/>
        </ext>
      </extLst>
    </sheetView>
  </sheetViews>
  <sheetFormatPr defaultRowHeight="14.4" x14ac:dyDescent="0.3"/>
  <cols>
    <col min="1" max="1" width="8.44140625" customWidth="1"/>
    <col min="2" max="8" width="8.88671875" hidden="1" customWidth="1"/>
    <col min="9" max="9" width="28.88671875" customWidth="1"/>
    <col min="14" max="14" width="17.5546875" customWidth="1"/>
  </cols>
  <sheetData>
    <row r="1" spans="14:21" ht="36.6" x14ac:dyDescent="0.7">
      <c r="N1" s="6" t="s">
        <v>77</v>
      </c>
      <c r="O1" s="6"/>
      <c r="P1" s="6"/>
      <c r="Q1" s="6"/>
      <c r="R1" s="6"/>
      <c r="S1" s="6"/>
      <c r="T1" s="6"/>
      <c r="U1" s="6"/>
    </row>
    <row r="31" spans="23:23" x14ac:dyDescent="0.3">
      <c r="W31" s="5"/>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workbookViewId="0">
      <selection activeCell="C2" sqref="C2"/>
    </sheetView>
  </sheetViews>
  <sheetFormatPr defaultRowHeight="14.4" x14ac:dyDescent="0.3"/>
  <cols>
    <col min="1" max="1" width="9.44140625" customWidth="1"/>
    <col min="2" max="3" width="11.5546875" style="4" customWidth="1"/>
    <col min="4" max="4" width="12.77734375" style="1" customWidth="1"/>
    <col min="5" max="5" width="14.77734375" customWidth="1"/>
    <col min="6" max="6" width="11.33203125" customWidth="1"/>
    <col min="7" max="7" width="16.44140625" customWidth="1"/>
    <col min="8" max="8" width="9.6640625" customWidth="1"/>
    <col min="9" max="9" width="14" customWidth="1"/>
    <col min="10" max="10" width="11.6640625" customWidth="1"/>
    <col min="11" max="11" width="13.21875" customWidth="1"/>
    <col min="12" max="12" width="12.44140625" customWidth="1"/>
  </cols>
  <sheetData>
    <row r="1" spans="1:12" x14ac:dyDescent="0.3">
      <c r="A1" t="s">
        <v>0</v>
      </c>
      <c r="B1" s="4" t="s">
        <v>1</v>
      </c>
      <c r="C1" s="4" t="s">
        <v>74</v>
      </c>
      <c r="D1" s="1" t="s">
        <v>2</v>
      </c>
      <c r="E1" t="s">
        <v>66</v>
      </c>
      <c r="F1" t="s">
        <v>3</v>
      </c>
      <c r="G1" t="s">
        <v>57</v>
      </c>
      <c r="H1" t="s">
        <v>4</v>
      </c>
      <c r="I1" t="s">
        <v>5</v>
      </c>
      <c r="J1" t="s">
        <v>6</v>
      </c>
      <c r="K1" t="s">
        <v>7</v>
      </c>
      <c r="L1" t="s">
        <v>8</v>
      </c>
    </row>
    <row r="2" spans="1:12" x14ac:dyDescent="0.3">
      <c r="A2">
        <v>2001</v>
      </c>
      <c r="B2" s="4" t="s">
        <v>9</v>
      </c>
      <c r="C2" s="4" t="str" cm="1">
        <f t="array" ref="C2">INDEX(_xlfn.TEXTSPLIT(B2, "-"), 1)</f>
        <v>2023</v>
      </c>
      <c r="D2" s="1" t="s">
        <v>10</v>
      </c>
      <c r="E2" t="str">
        <f>VLOOKUP(Orders!D2,Customers!$A$1:$E$7,2,FALSE)</f>
        <v>ABC Holding</v>
      </c>
      <c r="F2" t="s">
        <v>11</v>
      </c>
      <c r="G2" t="str">
        <f>VLOOKUP(F2,Products!$A$1:$D$5,2,FALSE)</f>
        <v>Modern Carpet A</v>
      </c>
      <c r="H2" t="s">
        <v>12</v>
      </c>
      <c r="I2" t="s">
        <v>13</v>
      </c>
      <c r="J2">
        <v>5</v>
      </c>
      <c r="K2">
        <v>120</v>
      </c>
      <c r="L2">
        <v>0.05</v>
      </c>
    </row>
    <row r="3" spans="1:12" x14ac:dyDescent="0.3">
      <c r="A3">
        <v>2002</v>
      </c>
      <c r="B3" s="4" t="s">
        <v>14</v>
      </c>
      <c r="C3" s="4" t="str" cm="1">
        <f t="array" ref="C3">INDEX(_xlfn.TEXTSPLIT(B3, "-"), 1)</f>
        <v>2023</v>
      </c>
      <c r="D3" s="1" t="s">
        <v>15</v>
      </c>
      <c r="E3" t="str">
        <f>VLOOKUP(Orders!D3,Customers!$A$1:$E$7,2,FALSE)</f>
        <v>Muller GmbH</v>
      </c>
      <c r="F3" t="s">
        <v>16</v>
      </c>
      <c r="G3" t="str">
        <f>VLOOKUP(F3,Products!$A$1:$D$5,2,FALSE)</f>
        <v>Classic Carpet B</v>
      </c>
      <c r="H3" t="s">
        <v>17</v>
      </c>
      <c r="I3" t="s">
        <v>18</v>
      </c>
      <c r="J3">
        <v>10</v>
      </c>
      <c r="K3">
        <v>95</v>
      </c>
      <c r="L3">
        <v>0</v>
      </c>
    </row>
    <row r="4" spans="1:12" x14ac:dyDescent="0.3">
      <c r="A4">
        <v>2003</v>
      </c>
      <c r="B4" s="4" t="s">
        <v>19</v>
      </c>
      <c r="C4" s="4" t="str" cm="1">
        <f t="array" ref="C4">INDEX(_xlfn.TEXTSPLIT(B4, "-"), 1)</f>
        <v>2023</v>
      </c>
      <c r="D4" s="1" t="s">
        <v>20</v>
      </c>
      <c r="E4" t="str">
        <f>VLOOKUP(Orders!D4,Customers!$A$1:$E$7,2,FALSE)</f>
        <v>Ege Group</v>
      </c>
      <c r="F4" t="s">
        <v>21</v>
      </c>
      <c r="G4" t="str">
        <f>VLOOKUP(F4,Products!$A$1:$D$5,2,FALSE)</f>
        <v>Rug Premium X</v>
      </c>
      <c r="H4" t="s">
        <v>12</v>
      </c>
      <c r="I4" t="s">
        <v>18</v>
      </c>
      <c r="J4">
        <v>3</v>
      </c>
      <c r="K4">
        <v>210</v>
      </c>
      <c r="L4">
        <v>0.1</v>
      </c>
    </row>
    <row r="5" spans="1:12" x14ac:dyDescent="0.3">
      <c r="A5">
        <v>2004</v>
      </c>
      <c r="B5" s="4" t="s">
        <v>22</v>
      </c>
      <c r="C5" s="4" t="str" cm="1">
        <f t="array" ref="C5">INDEX(_xlfn.TEXTSPLIT(B5, "-"), 1)</f>
        <v>2023</v>
      </c>
      <c r="D5" s="1" t="s">
        <v>10</v>
      </c>
      <c r="E5" t="str">
        <f>VLOOKUP(Orders!D5,Customers!$A$1:$E$7,2,FALSE)</f>
        <v>ABC Holding</v>
      </c>
      <c r="F5" t="s">
        <v>11</v>
      </c>
      <c r="G5" t="str">
        <f>VLOOKUP(F5,Products!$A$1:$D$5,2,FALSE)</f>
        <v>Modern Carpet A</v>
      </c>
      <c r="H5" t="s">
        <v>23</v>
      </c>
      <c r="I5" t="s">
        <v>13</v>
      </c>
      <c r="J5">
        <v>7</v>
      </c>
      <c r="K5">
        <v>120</v>
      </c>
      <c r="L5">
        <v>0.05</v>
      </c>
    </row>
    <row r="6" spans="1:12" x14ac:dyDescent="0.3">
      <c r="A6">
        <v>2005</v>
      </c>
      <c r="B6" s="4" t="s">
        <v>24</v>
      </c>
      <c r="C6" s="4" t="str" cm="1">
        <f t="array" ref="C6">INDEX(_xlfn.TEXTSPLIT(B6, "-"), 1)</f>
        <v>2023</v>
      </c>
      <c r="D6" s="1" t="s">
        <v>25</v>
      </c>
      <c r="E6" t="str">
        <f>VLOOKUP(Orders!D6,Customers!$A$1:$E$7,2,FALSE)</f>
        <v>Rossi Home</v>
      </c>
      <c r="F6" t="s">
        <v>26</v>
      </c>
      <c r="G6" t="str">
        <f>VLOOKUP(F6,Products!$A$1:$D$5,2,FALSE)</f>
        <v>Rug Standard Y</v>
      </c>
      <c r="H6" t="s">
        <v>27</v>
      </c>
      <c r="I6" t="s">
        <v>13</v>
      </c>
      <c r="J6">
        <v>9</v>
      </c>
      <c r="K6">
        <v>150</v>
      </c>
      <c r="L6">
        <v>0</v>
      </c>
    </row>
    <row r="7" spans="1:12" x14ac:dyDescent="0.3">
      <c r="A7">
        <v>2006</v>
      </c>
      <c r="B7" s="4" t="s">
        <v>28</v>
      </c>
      <c r="C7" s="4" t="str" cm="1">
        <f t="array" ref="C7">INDEX(_xlfn.TEXTSPLIT(B7, "-"), 1)</f>
        <v>2024</v>
      </c>
      <c r="D7" s="1" t="s">
        <v>15</v>
      </c>
      <c r="E7" t="str">
        <f>VLOOKUP(Orders!D7,Customers!$A$1:$E$7,2,FALSE)</f>
        <v>Muller GmbH</v>
      </c>
      <c r="F7" t="s">
        <v>16</v>
      </c>
      <c r="G7" t="str">
        <f>VLOOKUP(F7,Products!$A$1:$D$5,2,FALSE)</f>
        <v>Classic Carpet B</v>
      </c>
      <c r="H7" t="s">
        <v>12</v>
      </c>
      <c r="I7" t="s">
        <v>13</v>
      </c>
      <c r="J7">
        <v>12</v>
      </c>
      <c r="K7">
        <v>100</v>
      </c>
      <c r="L7">
        <v>0.1</v>
      </c>
    </row>
    <row r="8" spans="1:12" x14ac:dyDescent="0.3">
      <c r="A8">
        <v>2007</v>
      </c>
      <c r="B8" s="4" t="s">
        <v>29</v>
      </c>
      <c r="C8" s="4" t="str" cm="1">
        <f t="array" ref="C8">INDEX(_xlfn.TEXTSPLIT(B8, "-"), 1)</f>
        <v>2024</v>
      </c>
      <c r="D8" s="1" t="s">
        <v>30</v>
      </c>
      <c r="E8" t="str">
        <f>VLOOKUP(Orders!D8,Customers!$A$1:$E$7,2,FALSE)</f>
        <v>Delta BV</v>
      </c>
      <c r="F8" t="s">
        <v>21</v>
      </c>
      <c r="G8" t="str">
        <f>VLOOKUP(F8,Products!$A$1:$D$5,2,FALSE)</f>
        <v>Rug Premium X</v>
      </c>
      <c r="H8" t="s">
        <v>31</v>
      </c>
      <c r="I8" t="s">
        <v>18</v>
      </c>
      <c r="J8">
        <v>4</v>
      </c>
      <c r="K8">
        <v>220</v>
      </c>
      <c r="L8">
        <v>0</v>
      </c>
    </row>
    <row r="9" spans="1:12" x14ac:dyDescent="0.3">
      <c r="A9">
        <v>2008</v>
      </c>
      <c r="B9" s="4" t="s">
        <v>32</v>
      </c>
      <c r="C9" s="4" t="str" cm="1">
        <f t="array" ref="C9">INDEX(_xlfn.TEXTSPLIT(B9, "-"), 1)</f>
        <v>2024</v>
      </c>
      <c r="D9" s="1" t="s">
        <v>33</v>
      </c>
      <c r="E9" t="str">
        <f>VLOOKUP(Orders!D9,Customers!$A$1:$E$7,2,FALSE)</f>
        <v>Anadolu Store</v>
      </c>
      <c r="F9" t="s">
        <v>11</v>
      </c>
      <c r="G9" t="str">
        <f>VLOOKUP(F9,Products!$A$1:$D$5,2,FALSE)</f>
        <v>Modern Carpet A</v>
      </c>
      <c r="H9" t="s">
        <v>12</v>
      </c>
      <c r="I9" t="s">
        <v>13</v>
      </c>
      <c r="J9">
        <v>8</v>
      </c>
      <c r="K9">
        <v>130</v>
      </c>
      <c r="L9">
        <v>0.05</v>
      </c>
    </row>
    <row r="10" spans="1:12" x14ac:dyDescent="0.3">
      <c r="A10">
        <v>2009</v>
      </c>
      <c r="B10" s="4" t="s">
        <v>34</v>
      </c>
      <c r="C10" s="4" t="str" cm="1">
        <f t="array" ref="C10">INDEX(_xlfn.TEXTSPLIT(B10, "-"), 1)</f>
        <v>2024</v>
      </c>
      <c r="D10" s="1" t="s">
        <v>25</v>
      </c>
      <c r="E10" t="str">
        <f>VLOOKUP(Orders!D10,Customers!$A$1:$E$7,2,FALSE)</f>
        <v>Rossi Home</v>
      </c>
      <c r="F10" t="s">
        <v>26</v>
      </c>
      <c r="G10" t="str">
        <f>VLOOKUP(F10,Products!$A$1:$D$5,2,FALSE)</f>
        <v>Rug Standard Y</v>
      </c>
      <c r="H10" t="s">
        <v>35</v>
      </c>
      <c r="I10" t="s">
        <v>18</v>
      </c>
      <c r="J10">
        <v>6</v>
      </c>
      <c r="K10">
        <v>160</v>
      </c>
      <c r="L10">
        <v>0</v>
      </c>
    </row>
    <row r="11" spans="1:12" x14ac:dyDescent="0.3">
      <c r="A11">
        <v>2010</v>
      </c>
      <c r="B11" s="4" t="s">
        <v>36</v>
      </c>
      <c r="C11" s="4" t="str" cm="1">
        <f t="array" ref="C11">INDEX(_xlfn.TEXTSPLIT(B11, "-"), 1)</f>
        <v>2024</v>
      </c>
      <c r="D11" s="1" t="s">
        <v>20</v>
      </c>
      <c r="E11" t="str">
        <f>VLOOKUP(Orders!D11,Customers!$A$1:$E$7,2,FALSE)</f>
        <v>Ege Group</v>
      </c>
      <c r="F11" t="s">
        <v>21</v>
      </c>
      <c r="G11" t="str">
        <f>VLOOKUP(F11,Products!$A$1:$D$5,2,FALSE)</f>
        <v>Rug Premium X</v>
      </c>
      <c r="H11" t="s">
        <v>12</v>
      </c>
      <c r="I11" t="s">
        <v>18</v>
      </c>
      <c r="J11">
        <v>5</v>
      </c>
      <c r="K11">
        <v>220</v>
      </c>
      <c r="L11">
        <v>0.1</v>
      </c>
    </row>
  </sheetData>
  <phoneticPr fontId="1"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election activeCell="A6" sqref="A6"/>
    </sheetView>
  </sheetViews>
  <sheetFormatPr defaultRowHeight="14.4" x14ac:dyDescent="0.3"/>
  <cols>
    <col min="1" max="1" width="8.88671875" style="1"/>
    <col min="2" max="2" width="13.77734375" customWidth="1"/>
    <col min="3" max="3" width="14.109375" customWidth="1"/>
    <col min="4" max="4" width="12.6640625" customWidth="1"/>
  </cols>
  <sheetData>
    <row r="1" spans="1:5" x14ac:dyDescent="0.3">
      <c r="A1" s="1" t="s">
        <v>2</v>
      </c>
      <c r="B1" t="s">
        <v>37</v>
      </c>
      <c r="C1" t="s">
        <v>38</v>
      </c>
      <c r="D1" t="s">
        <v>39</v>
      </c>
      <c r="E1" t="s">
        <v>40</v>
      </c>
    </row>
    <row r="2" spans="1:5" x14ac:dyDescent="0.3">
      <c r="A2" s="1" t="s">
        <v>10</v>
      </c>
      <c r="B2" t="s">
        <v>41</v>
      </c>
      <c r="C2" t="s">
        <v>42</v>
      </c>
      <c r="D2" t="s">
        <v>43</v>
      </c>
      <c r="E2" t="s">
        <v>44</v>
      </c>
    </row>
    <row r="3" spans="1:5" x14ac:dyDescent="0.3">
      <c r="A3" s="1" t="s">
        <v>15</v>
      </c>
      <c r="B3" t="s">
        <v>45</v>
      </c>
      <c r="C3" t="s">
        <v>46</v>
      </c>
      <c r="D3" t="s">
        <v>47</v>
      </c>
      <c r="E3" t="s">
        <v>48</v>
      </c>
    </row>
    <row r="4" spans="1:5" x14ac:dyDescent="0.3">
      <c r="A4" s="1" t="s">
        <v>20</v>
      </c>
      <c r="B4" t="s">
        <v>49</v>
      </c>
      <c r="C4" t="s">
        <v>42</v>
      </c>
      <c r="D4" t="s">
        <v>43</v>
      </c>
      <c r="E4" t="s">
        <v>50</v>
      </c>
    </row>
    <row r="5" spans="1:5" x14ac:dyDescent="0.3">
      <c r="A5" s="1" t="s">
        <v>25</v>
      </c>
      <c r="B5" t="s">
        <v>51</v>
      </c>
      <c r="C5" t="s">
        <v>46</v>
      </c>
      <c r="D5" t="s">
        <v>47</v>
      </c>
      <c r="E5" t="s">
        <v>52</v>
      </c>
    </row>
    <row r="6" spans="1:5" x14ac:dyDescent="0.3">
      <c r="A6" s="1" t="s">
        <v>30</v>
      </c>
      <c r="B6" t="s">
        <v>53</v>
      </c>
      <c r="C6" t="s">
        <v>42</v>
      </c>
      <c r="D6" t="s">
        <v>43</v>
      </c>
      <c r="E6" t="s">
        <v>54</v>
      </c>
    </row>
    <row r="7" spans="1:5" x14ac:dyDescent="0.3">
      <c r="A7" s="1" t="s">
        <v>33</v>
      </c>
      <c r="B7" t="s">
        <v>55</v>
      </c>
      <c r="C7" t="s">
        <v>46</v>
      </c>
      <c r="D7" t="s">
        <v>47</v>
      </c>
      <c r="E7" t="s">
        <v>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heetViews>
  <sheetFormatPr defaultRowHeight="14.4" x14ac:dyDescent="0.3"/>
  <sheetData>
    <row r="1" spans="1:4" x14ac:dyDescent="0.3">
      <c r="A1" t="s">
        <v>3</v>
      </c>
      <c r="B1" t="s">
        <v>57</v>
      </c>
      <c r="C1" t="s">
        <v>58</v>
      </c>
      <c r="D1" t="s">
        <v>59</v>
      </c>
    </row>
    <row r="2" spans="1:4" x14ac:dyDescent="0.3">
      <c r="A2" t="s">
        <v>11</v>
      </c>
      <c r="B2" t="s">
        <v>60</v>
      </c>
      <c r="C2" t="s">
        <v>61</v>
      </c>
      <c r="D2">
        <v>80</v>
      </c>
    </row>
    <row r="3" spans="1:4" x14ac:dyDescent="0.3">
      <c r="A3" t="s">
        <v>16</v>
      </c>
      <c r="B3" t="s">
        <v>62</v>
      </c>
      <c r="C3" t="s">
        <v>61</v>
      </c>
      <c r="D3">
        <v>70</v>
      </c>
    </row>
    <row r="4" spans="1:4" x14ac:dyDescent="0.3">
      <c r="A4" t="s">
        <v>21</v>
      </c>
      <c r="B4" t="s">
        <v>63</v>
      </c>
      <c r="C4" t="s">
        <v>64</v>
      </c>
      <c r="D4">
        <v>150</v>
      </c>
    </row>
    <row r="5" spans="1:4" x14ac:dyDescent="0.3">
      <c r="A5" t="s">
        <v>26</v>
      </c>
      <c r="B5" t="s">
        <v>65</v>
      </c>
      <c r="C5" t="s">
        <v>64</v>
      </c>
      <c r="D5">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Pivots</vt:lpstr>
      <vt:lpstr>Dashboard</vt:lpstr>
      <vt:lpstr>Orders</vt:lpstr>
      <vt:lpstr>Customers</vt:lpstr>
      <vt:lpstr>Products</vt:lpstr>
      <vt:lpstr>OrderTable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Ayşenur BALKAN</cp:lastModifiedBy>
  <dcterms:created xsi:type="dcterms:W3CDTF">2026-02-01T16:47:31Z</dcterms:created>
  <dcterms:modified xsi:type="dcterms:W3CDTF">2026-02-03T09:55:52Z</dcterms:modified>
</cp:coreProperties>
</file>